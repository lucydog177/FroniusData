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sktopUser\Documents\"/>
    </mc:Choice>
  </mc:AlternateContent>
  <xr:revisionPtr revIDLastSave="0" documentId="13_ncr:1_{BBE12886-679B-4FD2-9FC8-B420188324DA}" xr6:coauthVersionLast="36" xr6:coauthVersionMax="36" xr10:uidLastSave="{00000000-0000-0000-0000-000000000000}"/>
  <bookViews>
    <workbookView xWindow="0" yWindow="0" windowWidth="16920" windowHeight="12171" tabRatio="773" xr2:uid="{449E09DA-DDCE-46C9-A3A1-B1AB39F6B2F6}"/>
  </bookViews>
  <sheets>
    <sheet name="Home" sheetId="1" r:id="rId1"/>
    <sheet name="2023-YEAR" sheetId="462" r:id="rId2"/>
    <sheet name="2022-YEAR" sheetId="466" r:id="rId3"/>
    <sheet name="2021-01-01" sheetId="69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462" l="1"/>
  <c r="F12" i="462"/>
  <c r="F11" i="462"/>
  <c r="F10" i="462"/>
  <c r="F9" i="462"/>
  <c r="F8" i="462"/>
  <c r="F7" i="462"/>
  <c r="F6" i="462"/>
  <c r="F5" i="462"/>
  <c r="F4" i="462"/>
  <c r="F3" i="462"/>
  <c r="F2" i="462"/>
  <c r="F14" i="462" l="1"/>
  <c r="F14" i="466"/>
  <c r="F13" i="466"/>
  <c r="F12" i="466"/>
  <c r="F11" i="466"/>
  <c r="F10" i="466"/>
  <c r="F9" i="466"/>
  <c r="F8" i="466"/>
  <c r="F7" i="466"/>
  <c r="F6" i="466"/>
  <c r="F5" i="466"/>
  <c r="F4" i="466"/>
  <c r="F3" i="466"/>
  <c r="F2" i="466"/>
</calcChain>
</file>

<file path=xl/sharedStrings.xml><?xml version="1.0" encoding="utf-8"?>
<sst xmlns="http://schemas.openxmlformats.org/spreadsheetml/2006/main" count="123" uniqueCount="103">
  <si>
    <t>Datalogger ID</t>
  </si>
  <si>
    <t>System time</t>
  </si>
  <si>
    <t>Software version</t>
  </si>
  <si>
    <t>IP address</t>
  </si>
  <si>
    <t>Device type</t>
  </si>
  <si>
    <t>Serial number</t>
  </si>
  <si>
    <t>System name</t>
  </si>
  <si>
    <t>Timezone location</t>
  </si>
  <si>
    <t>Timezone name</t>
  </si>
  <si>
    <t>Timezone offset</t>
  </si>
  <si>
    <t>Hardware version</t>
  </si>
  <si>
    <t>Inverter hostname</t>
  </si>
  <si>
    <t>Day energy</t>
  </si>
  <si>
    <t>Year energy</t>
  </si>
  <si>
    <t>Total energy</t>
  </si>
  <si>
    <t>Solarweb</t>
  </si>
  <si>
    <t>Wi-Fi</t>
  </si>
  <si>
    <t>AC current</t>
  </si>
  <si>
    <t>AC voltage</t>
  </si>
  <si>
    <t>AC frequency</t>
  </si>
  <si>
    <t>DC current</t>
  </si>
  <si>
    <t>DC voltage</t>
  </si>
  <si>
    <t>Maximum AC power today</t>
  </si>
  <si>
    <t>Maximum AC voltage today</t>
  </si>
  <si>
    <t>Maximum DC voltage today</t>
  </si>
  <si>
    <t>Maximum AC power this year</t>
  </si>
  <si>
    <t>Maximum AC voltage this year</t>
  </si>
  <si>
    <t>Maximum DC voltage this year</t>
  </si>
  <si>
    <t>Maximum AC voltage of all-time</t>
  </si>
  <si>
    <t>Maximum DC voltage of all-time</t>
  </si>
  <si>
    <t>Maximum AC power of all-time</t>
  </si>
  <si>
    <t>Error code</t>
  </si>
  <si>
    <t>Status code</t>
  </si>
  <si>
    <t>AC power</t>
  </si>
  <si>
    <t>DC power</t>
  </si>
  <si>
    <t>Utilization</t>
  </si>
  <si>
    <t>Efficiency</t>
  </si>
  <si>
    <t>Month</t>
  </si>
  <si>
    <t>Day</t>
  </si>
  <si>
    <t>Number of solar panels</t>
  </si>
  <si>
    <t>Billing cycle day</t>
  </si>
  <si>
    <t>Billing cycle time</t>
  </si>
  <si>
    <t>TOTAL</t>
  </si>
  <si>
    <t>Energy (kWh)</t>
  </si>
  <si>
    <t>Service From</t>
  </si>
  <si>
    <t>Service To</t>
  </si>
  <si>
    <t>Days</t>
  </si>
  <si>
    <t>Year</t>
  </si>
  <si>
    <t>DC voltage per panel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</si>
  <si>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</si>
  <si>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</si>
  <si>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</si>
  <si>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</si>
  <si>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</si>
  <si>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</si>
  <si>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</si>
  <si>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</si>
  <si>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</si>
  <si>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</si>
  <si>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</si>
  <si>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</si>
  <si>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Latitude</t>
  </si>
  <si>
    <t>Longitude</t>
  </si>
  <si>
    <t>Sunrise today</t>
  </si>
  <si>
    <t>Sunset today</t>
  </si>
  <si>
    <t>Today's date</t>
  </si>
  <si>
    <t>WLAN LED</t>
  </si>
  <si>
    <t>Power LED</t>
  </si>
  <si>
    <t>SolarNet LED</t>
  </si>
  <si>
    <t>SolarWeb LED</t>
  </si>
  <si>
    <t>Daylight</t>
  </si>
  <si>
    <t>Historical data first day</t>
  </si>
  <si>
    <t>Historical data number of days</t>
  </si>
  <si>
    <t>Historical data local folder</t>
  </si>
  <si>
    <t>Historical data last day</t>
  </si>
  <si>
    <t>Clock</t>
  </si>
  <si>
    <t>EnergyReal_WAC_Sum_Produced</t>
  </si>
  <si>
    <t>PowerReal_PAC_Sum</t>
  </si>
  <si>
    <t>API version</t>
  </si>
  <si>
    <t>Base URL</t>
  </si>
  <si>
    <t>Compatibility range</t>
  </si>
  <si>
    <t>Offline until</t>
  </si>
  <si>
    <t>Voltage_DC_String_1</t>
  </si>
  <si>
    <t>Voltage_DC_String_2</t>
  </si>
  <si>
    <t>Current_DC_String_1</t>
  </si>
  <si>
    <t>Current_DC_String_2</t>
  </si>
  <si>
    <t>Cumulative day production</t>
  </si>
  <si>
    <t>Cumulative year production</t>
  </si>
  <si>
    <t>Cumulative lifetime production</t>
  </si>
  <si>
    <t>Cumulative day consumption</t>
  </si>
  <si>
    <t>Cumulative year consumption</t>
  </si>
  <si>
    <t>Cumulative lifetime consumption</t>
  </si>
  <si>
    <t>Data recording interval</t>
  </si>
  <si>
    <t>State to reset</t>
  </si>
  <si>
    <t>Management task timer</t>
  </si>
  <si>
    <t>LED color, LED state</t>
  </si>
  <si>
    <t>Energy data timestamp</t>
  </si>
  <si>
    <t>General status</t>
  </si>
  <si>
    <t>Unique ID</t>
  </si>
  <si>
    <t>DC current per panel</t>
  </si>
  <si>
    <t>DC power per panel</t>
  </si>
  <si>
    <t>Power_DC_Sum</t>
  </si>
  <si>
    <t>PV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</si>
</sst>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164" formatCode="0.0%"/>
    <numFmt numFmtId="165" formatCode="#,##0.0\ &quot;W&quot;"/>
    <numFmt numFmtId="166" formatCode="#,##0\ &quot;Wh&quot;"/>
    <numFmt numFmtId="167" formatCode="hh:mm:ss\ AM/PM"/>
    <numFmt numFmtId="168" formatCode="mmmm\ yyyy"/>
    <numFmt numFmtId="169" formatCode="yyyy\-mm\-dd"/>
    <numFmt numFmtId="170" formatCode="#"/>
    <numFmt numFmtId="171" formatCode="m/d/yyyy\ hh:mm:ss\ AM/PM"/>
    <numFmt numFmtId="172" formatCode="#,##0.0\ &quot;V per panel&quot;"/>
    <numFmt numFmtId="173" formatCode="dddd\,\ mmmm\ d\,\ yyyy"/>
    <numFmt numFmtId="174" formatCode="hh:mm"/>
    <numFmt numFmtId="175" formatCode="[$-409]h:mm\ AM/PM;@"/>
    <numFmt numFmtId="176" formatCode="#,##0\ &quot;W&quot;"/>
    <numFmt numFmtId="177" formatCode="#,##0.0\ &quot;A&quot;"/>
    <numFmt numFmtId="178" formatCode="#,##0.0\ &quot;V&quot;"/>
    <numFmt numFmtId="179" formatCode="#,##0.000\ &quot;Hz&quot;"/>
    <numFmt numFmtId="180" formatCode="[h]\ &quot;hours&quot;\,\ m\ &quot;minutes&quot;"/>
    <numFmt numFmtId="181" formatCode="0\ &quot;minutes&quot;"/>
    <numFmt numFmtId="182" formatCode="[$-409]mmmm\ dd\,\ yyyy\ h:mm:ss\ AM/PM;@"/>
    <numFmt numFmtId="183" formatCode="#,##0.0\ &quot;W per panel&quot;"/>
    <numFmt numFmtId="184" formatCode="#,##0.0\ &quot;A per panel&quot;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49" fontId="0" fillId="0" borderId="0" xfId="0" applyNumberForma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0" xfId="0" applyFont="1"/>
    <xf numFmtId="170" fontId="0" fillId="0" borderId="0" xfId="0" applyNumberFormat="1" applyAlignment="1">
      <alignment horizontal="center"/>
    </xf>
    <xf numFmtId="3" fontId="0" fillId="0" borderId="0" xfId="0" applyNumberFormat="1" applyAlignment="1">
      <alignment horizontal="right"/>
    </xf>
    <xf numFmtId="3" fontId="1" fillId="0" borderId="0" xfId="0" applyNumberFormat="1" applyFont="1" applyAlignment="1">
      <alignment horizontal="right"/>
    </xf>
    <xf numFmtId="14" fontId="0" fillId="0" borderId="0" xfId="0" applyNumberFormat="1"/>
    <xf numFmtId="0" fontId="0" fillId="0" borderId="0" xfId="0" applyNumberFormat="1"/>
    <xf numFmtId="1" fontId="0" fillId="0" borderId="0" xfId="0" applyNumberFormat="1"/>
    <xf numFmtId="14" fontId="1" fillId="0" borderId="0" xfId="0" applyNumberFormat="1" applyFont="1"/>
    <xf numFmtId="1" fontId="1" fillId="0" borderId="0" xfId="0" applyNumberFormat="1" applyFont="1"/>
    <xf numFmtId="0" fontId="1" fillId="0" borderId="0" xfId="0" applyNumberFormat="1" applyFont="1" applyAlignment="1">
      <alignment horizontal="center"/>
    </xf>
    <xf numFmtId="171" fontId="1" fillId="0" borderId="0" xfId="0" applyNumberFormat="1" applyFont="1"/>
    <xf numFmtId="171" fontId="0" fillId="0" borderId="0" xfId="0" applyNumberFormat="1"/>
    <xf numFmtId="171" fontId="1" fillId="0" borderId="0" xfId="0" applyNumberFormat="1" applyFont="1" applyAlignment="1">
      <alignment horizontal="center"/>
    </xf>
    <xf numFmtId="171" fontId="1" fillId="0" borderId="0" xfId="0" applyNumberFormat="1" applyFont="1" applyAlignment="1">
      <alignment horizontal="right"/>
    </xf>
    <xf numFmtId="171" fontId="0" fillId="0" borderId="0" xfId="0" applyNumberFormat="1" applyAlignment="1">
      <alignment horizontal="right"/>
    </xf>
    <xf numFmtId="0" fontId="0" fillId="0" borderId="0" xfId="0" applyFont="1"/>
    <xf numFmtId="1" fontId="1" fillId="0" borderId="0" xfId="0" applyNumberFormat="1" applyFont="1" applyAlignment="1">
      <alignment horizontal="center"/>
    </xf>
    <xf numFmtId="1" fontId="0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18" fontId="0" fillId="0" borderId="0" xfId="0" applyNumberFormat="1" applyAlignment="1">
      <alignment horizontal="left"/>
    </xf>
    <xf numFmtId="173" fontId="0" fillId="0" borderId="0" xfId="0" applyNumberFormat="1" applyAlignment="1">
      <alignment horizontal="left"/>
    </xf>
    <xf numFmtId="174" fontId="0" fillId="0" borderId="0" xfId="0" applyNumberFormat="1" applyAlignment="1">
      <alignment horizontal="center"/>
    </xf>
    <xf numFmtId="175" fontId="0" fillId="0" borderId="0" xfId="0" applyNumberFormat="1" applyAlignment="1">
      <alignment horizontal="left"/>
    </xf>
    <xf numFmtId="180" fontId="0" fillId="0" borderId="0" xfId="0" applyNumberFormat="1" applyAlignment="1">
      <alignment horizontal="left"/>
    </xf>
    <xf numFmtId="165" fontId="0" fillId="0" borderId="0" xfId="0" applyNumberFormat="1" applyFont="1" applyFill="1" applyAlignment="1">
      <alignment horizontal="left"/>
    </xf>
    <xf numFmtId="49" fontId="0" fillId="0" borderId="0" xfId="0" applyNumberFormat="1" applyFont="1" applyFill="1" applyAlignment="1">
      <alignment horizontal="left"/>
    </xf>
    <xf numFmtId="176" fontId="0" fillId="0" borderId="0" xfId="0" applyNumberFormat="1" applyFont="1" applyFill="1" applyAlignment="1">
      <alignment horizontal="left"/>
    </xf>
    <xf numFmtId="178" fontId="0" fillId="0" borderId="0" xfId="0" applyNumberFormat="1" applyFont="1" applyFill="1" applyAlignment="1">
      <alignment horizontal="left"/>
    </xf>
    <xf numFmtId="177" fontId="0" fillId="0" borderId="0" xfId="0" applyNumberFormat="1" applyFont="1" applyFill="1" applyAlignment="1">
      <alignment horizontal="left"/>
    </xf>
    <xf numFmtId="179" fontId="0" fillId="0" borderId="0" xfId="0" applyNumberFormat="1" applyFont="1" applyFill="1" applyAlignment="1">
      <alignment horizontal="left"/>
    </xf>
    <xf numFmtId="166" fontId="0" fillId="0" borderId="0" xfId="0" applyNumberFormat="1" applyFont="1" applyFill="1" applyAlignment="1">
      <alignment horizontal="left"/>
    </xf>
    <xf numFmtId="172" fontId="0" fillId="0" borderId="0" xfId="0" applyNumberFormat="1" applyFont="1" applyFill="1" applyAlignment="1">
      <alignment horizontal="left"/>
    </xf>
    <xf numFmtId="164" fontId="0" fillId="0" borderId="0" xfId="0" applyNumberFormat="1" applyFont="1" applyFill="1" applyAlignment="1">
      <alignment horizontal="left"/>
    </xf>
    <xf numFmtId="9" fontId="0" fillId="0" borderId="0" xfId="0" applyNumberFormat="1" applyFont="1" applyFill="1" applyAlignment="1">
      <alignment horizontal="left"/>
    </xf>
    <xf numFmtId="169" fontId="0" fillId="0" borderId="0" xfId="0" applyNumberFormat="1" applyFont="1" applyFill="1" applyAlignment="1">
      <alignment horizontal="left"/>
    </xf>
    <xf numFmtId="181" fontId="0" fillId="0" borderId="0" xfId="0" applyNumberFormat="1" applyFont="1" applyFill="1" applyAlignment="1">
      <alignment horizontal="left"/>
    </xf>
    <xf numFmtId="166" fontId="0" fillId="0" borderId="0" xfId="0" applyNumberFormat="1" applyFont="1" applyFill="1" applyAlignment="1">
      <alignment horizontal="left" wrapText="1"/>
    </xf>
    <xf numFmtId="182" fontId="0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83" fontId="0" fillId="0" borderId="0" xfId="0" applyNumberFormat="1" applyFont="1" applyFill="1" applyAlignment="1">
      <alignment horizontal="left"/>
    </xf>
    <xf numFmtId="184" fontId="0" fillId="0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Power Generation (W)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'2021-01-01'!$B$1</c:f>
              <c:strCache>
                <c:ptCount val="1"/>
                <c:pt idx="0">
                  <c:v>PowerReal_PAC_Sum</c:v>
                </c:pt>
              </c:strCache>
            </c:strRef>
          </c:tx>
          <c:spPr>
            <a:solidFill>
              <a:srgbClr val="F7C003"/>
            </a:solidFill>
            <a:ln w="25400">
              <a:noFill/>
            </a:ln>
          </c:spPr>
          <c:cat>
            <c:numRef>
              <c:f>'2021-01-01'!$A$2:$A$110</c:f>
              <c:numCache>
                <c:formatCode>hh:mm</c:formatCode>
                <c:ptCount val="109"/>
                <c:pt idx="0">
                  <c:v>44197.309027777781</c:v>
                </c:pt>
                <c:pt idx="1">
                  <c:v>44197.3125</c:v>
                </c:pt>
                <c:pt idx="2">
                  <c:v>44197.315972222219</c:v>
                </c:pt>
                <c:pt idx="3">
                  <c:v>44197.319444444445</c:v>
                </c:pt>
                <c:pt idx="4">
                  <c:v>44197.322916666664</c:v>
                </c:pt>
                <c:pt idx="5">
                  <c:v>44197.326388888891</c:v>
                </c:pt>
                <c:pt idx="6">
                  <c:v>44197.329861111109</c:v>
                </c:pt>
                <c:pt idx="7">
                  <c:v>44197.333333333336</c:v>
                </c:pt>
                <c:pt idx="8">
                  <c:v>44197.336805555555</c:v>
                </c:pt>
                <c:pt idx="9">
                  <c:v>44197.340277777781</c:v>
                </c:pt>
                <c:pt idx="10">
                  <c:v>44197.34375</c:v>
                </c:pt>
                <c:pt idx="11">
                  <c:v>44197.347222222219</c:v>
                </c:pt>
                <c:pt idx="12">
                  <c:v>44197.350694444445</c:v>
                </c:pt>
                <c:pt idx="13">
                  <c:v>44197.354166666664</c:v>
                </c:pt>
                <c:pt idx="14">
                  <c:v>44197.357638888891</c:v>
                </c:pt>
                <c:pt idx="15">
                  <c:v>44197.361111111109</c:v>
                </c:pt>
                <c:pt idx="16">
                  <c:v>44197.364583333336</c:v>
                </c:pt>
                <c:pt idx="17">
                  <c:v>44197.368055555555</c:v>
                </c:pt>
                <c:pt idx="18">
                  <c:v>44197.371527777781</c:v>
                </c:pt>
                <c:pt idx="19">
                  <c:v>44197.375</c:v>
                </c:pt>
                <c:pt idx="20">
                  <c:v>44197.378472222219</c:v>
                </c:pt>
                <c:pt idx="21">
                  <c:v>44197.381944444445</c:v>
                </c:pt>
                <c:pt idx="22">
                  <c:v>44197.385416666664</c:v>
                </c:pt>
                <c:pt idx="23">
                  <c:v>44197.388888888891</c:v>
                </c:pt>
                <c:pt idx="24">
                  <c:v>44197.392361111109</c:v>
                </c:pt>
                <c:pt idx="25">
                  <c:v>44197.395833333336</c:v>
                </c:pt>
                <c:pt idx="26">
                  <c:v>44197.399305555555</c:v>
                </c:pt>
                <c:pt idx="27">
                  <c:v>44197.402777777781</c:v>
                </c:pt>
                <c:pt idx="28">
                  <c:v>44197.40625</c:v>
                </c:pt>
                <c:pt idx="29">
                  <c:v>44197.409722222219</c:v>
                </c:pt>
                <c:pt idx="30">
                  <c:v>44197.413194444445</c:v>
                </c:pt>
                <c:pt idx="31">
                  <c:v>44197.416666666664</c:v>
                </c:pt>
                <c:pt idx="32">
                  <c:v>44197.420138888891</c:v>
                </c:pt>
                <c:pt idx="33">
                  <c:v>44197.423611111109</c:v>
                </c:pt>
                <c:pt idx="34">
                  <c:v>44197.427083333336</c:v>
                </c:pt>
                <c:pt idx="35">
                  <c:v>44197.430555555555</c:v>
                </c:pt>
                <c:pt idx="36">
                  <c:v>44197.434027777781</c:v>
                </c:pt>
                <c:pt idx="37">
                  <c:v>44197.4375</c:v>
                </c:pt>
                <c:pt idx="38">
                  <c:v>44197.440972222219</c:v>
                </c:pt>
                <c:pt idx="39">
                  <c:v>44197.444444444445</c:v>
                </c:pt>
                <c:pt idx="40">
                  <c:v>44197.447916666664</c:v>
                </c:pt>
                <c:pt idx="41">
                  <c:v>44197.451388888891</c:v>
                </c:pt>
                <c:pt idx="42">
                  <c:v>44197.454861111109</c:v>
                </c:pt>
                <c:pt idx="43">
                  <c:v>44197.458333333336</c:v>
                </c:pt>
                <c:pt idx="44">
                  <c:v>44197.461805555555</c:v>
                </c:pt>
                <c:pt idx="45">
                  <c:v>44197.465277777781</c:v>
                </c:pt>
                <c:pt idx="46">
                  <c:v>44197.46875</c:v>
                </c:pt>
                <c:pt idx="47">
                  <c:v>44197.472222222219</c:v>
                </c:pt>
                <c:pt idx="48">
                  <c:v>44197.475694444445</c:v>
                </c:pt>
                <c:pt idx="49">
                  <c:v>44197.479166666664</c:v>
                </c:pt>
                <c:pt idx="50">
                  <c:v>44197.482638888891</c:v>
                </c:pt>
                <c:pt idx="51">
                  <c:v>44197.486111111109</c:v>
                </c:pt>
                <c:pt idx="52">
                  <c:v>44197.489583333336</c:v>
                </c:pt>
                <c:pt idx="53">
                  <c:v>44197.493055555555</c:v>
                </c:pt>
                <c:pt idx="54">
                  <c:v>44197.496527777781</c:v>
                </c:pt>
                <c:pt idx="55">
                  <c:v>44197.5</c:v>
                </c:pt>
                <c:pt idx="56">
                  <c:v>44197.503472222219</c:v>
                </c:pt>
                <c:pt idx="57">
                  <c:v>44197.506944444445</c:v>
                </c:pt>
                <c:pt idx="58">
                  <c:v>44197.510416666664</c:v>
                </c:pt>
                <c:pt idx="59">
                  <c:v>44197.513888888891</c:v>
                </c:pt>
                <c:pt idx="60">
                  <c:v>44197.517361111109</c:v>
                </c:pt>
                <c:pt idx="61">
                  <c:v>44197.520833333336</c:v>
                </c:pt>
                <c:pt idx="62">
                  <c:v>44197.524305555555</c:v>
                </c:pt>
                <c:pt idx="63">
                  <c:v>44197.527777777781</c:v>
                </c:pt>
                <c:pt idx="64">
                  <c:v>44197.53125</c:v>
                </c:pt>
                <c:pt idx="65">
                  <c:v>44197.534722222219</c:v>
                </c:pt>
                <c:pt idx="66">
                  <c:v>44197.538194444445</c:v>
                </c:pt>
                <c:pt idx="67">
                  <c:v>44197.541666666664</c:v>
                </c:pt>
                <c:pt idx="68">
                  <c:v>44197.545138888891</c:v>
                </c:pt>
                <c:pt idx="69">
                  <c:v>44197.548611111109</c:v>
                </c:pt>
                <c:pt idx="70">
                  <c:v>44197.552083333336</c:v>
                </c:pt>
                <c:pt idx="71">
                  <c:v>44197.555555555555</c:v>
                </c:pt>
                <c:pt idx="72">
                  <c:v>44197.559027777781</c:v>
                </c:pt>
                <c:pt idx="73">
                  <c:v>44197.5625</c:v>
                </c:pt>
                <c:pt idx="74">
                  <c:v>44197.565972222219</c:v>
                </c:pt>
                <c:pt idx="75">
                  <c:v>44197.569444444445</c:v>
                </c:pt>
                <c:pt idx="76">
                  <c:v>44197.572916666664</c:v>
                </c:pt>
                <c:pt idx="77">
                  <c:v>44197.576388888891</c:v>
                </c:pt>
                <c:pt idx="78">
                  <c:v>44197.579861111109</c:v>
                </c:pt>
                <c:pt idx="79">
                  <c:v>44197.583333333336</c:v>
                </c:pt>
                <c:pt idx="80">
                  <c:v>44197.586805555555</c:v>
                </c:pt>
                <c:pt idx="81">
                  <c:v>44197.590277777781</c:v>
                </c:pt>
                <c:pt idx="82">
                  <c:v>44197.59375</c:v>
                </c:pt>
                <c:pt idx="83">
                  <c:v>44197.597222222219</c:v>
                </c:pt>
                <c:pt idx="84">
                  <c:v>44197.600694444445</c:v>
                </c:pt>
                <c:pt idx="85">
                  <c:v>44197.604166666664</c:v>
                </c:pt>
                <c:pt idx="86">
                  <c:v>44197.607638888891</c:v>
                </c:pt>
                <c:pt idx="87">
                  <c:v>44197.611111111109</c:v>
                </c:pt>
                <c:pt idx="88">
                  <c:v>44197.614583333336</c:v>
                </c:pt>
                <c:pt idx="89">
                  <c:v>44197.618055555555</c:v>
                </c:pt>
                <c:pt idx="90">
                  <c:v>44197.621527777781</c:v>
                </c:pt>
                <c:pt idx="91">
                  <c:v>44197.625</c:v>
                </c:pt>
                <c:pt idx="92">
                  <c:v>44197.628472222219</c:v>
                </c:pt>
                <c:pt idx="93">
                  <c:v>44197.631944444445</c:v>
                </c:pt>
                <c:pt idx="94">
                  <c:v>44197.635416666664</c:v>
                </c:pt>
                <c:pt idx="95">
                  <c:v>44197.638888888891</c:v>
                </c:pt>
                <c:pt idx="96">
                  <c:v>44197.642361111109</c:v>
                </c:pt>
                <c:pt idx="97">
                  <c:v>44197.645833333336</c:v>
                </c:pt>
                <c:pt idx="98">
                  <c:v>44197.649305555555</c:v>
                </c:pt>
                <c:pt idx="99">
                  <c:v>44197.652777777781</c:v>
                </c:pt>
                <c:pt idx="100">
                  <c:v>44197.65625</c:v>
                </c:pt>
                <c:pt idx="101">
                  <c:v>44197.659722222219</c:v>
                </c:pt>
                <c:pt idx="102">
                  <c:v>44197.663194444445</c:v>
                </c:pt>
                <c:pt idx="103">
                  <c:v>44197.666666666664</c:v>
                </c:pt>
                <c:pt idx="104">
                  <c:v>44197.670138888891</c:v>
                </c:pt>
                <c:pt idx="105">
                  <c:v>44197.673611111109</c:v>
                </c:pt>
                <c:pt idx="106">
                  <c:v>44197.677083333336</c:v>
                </c:pt>
                <c:pt idx="107">
                  <c:v>44197.680555555555</c:v>
                </c:pt>
                <c:pt idx="108">
                  <c:v>44197.684027777781</c:v>
                </c:pt>
              </c:numCache>
            </c:numRef>
          </c:cat>
          <c:val>
            <c:numRef>
              <c:f>'2021-01-01'!$B$2:$B$110</c:f>
              <c:numCache>
                <c:formatCode>General</c:formatCode>
                <c:ptCount val="109"/>
              </c:numCache>
            </c:numRef>
          </c:val>
          <c:extLst>
            <c:ext xmlns:c16="http://schemas.microsoft.com/office/drawing/2014/chart" uri="{C3380CC4-5D6E-409C-BE32-E72D297353CC}">
              <c16:uniqueId val="{00000000-B1FE-4F53-B0A3-36B00DE82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3328"/>
        <c:axId val="1864918064"/>
      </c:areaChart>
      <c:catAx>
        <c:axId val="6933328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crossAx val="1864918064"/>
        <c:crosses val="autoZero"/>
        <c:auto val="1"/>
        <c:lblAlgn val="ctr"/>
        <c:lblOffset val="100"/>
        <c:noMultiLvlLbl val="0"/>
      </c:catAx>
      <c:valAx>
        <c:axId val="1864918064"/>
        <c:scaling>
          <c:orientation val="minMax"/>
          <c:max val="7000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693332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image" Target="../media/image16.emf"/><Relationship Id="rId18" Type="http://schemas.openxmlformats.org/officeDocument/2006/relationships/image" Target="../media/image18.emf"/><Relationship Id="rId3" Type="http://schemas.openxmlformats.org/officeDocument/2006/relationships/image" Target="../media/image8.emf"/><Relationship Id="rId7" Type="http://schemas.openxmlformats.org/officeDocument/2006/relationships/image" Target="../media/image5.emf"/><Relationship Id="rId12" Type="http://schemas.openxmlformats.org/officeDocument/2006/relationships/image" Target="../media/image15.emf"/><Relationship Id="rId17" Type="http://schemas.openxmlformats.org/officeDocument/2006/relationships/image" Target="../media/image1.emf"/><Relationship Id="rId2" Type="http://schemas.openxmlformats.org/officeDocument/2006/relationships/image" Target="../media/image6.emf"/><Relationship Id="rId16" Type="http://schemas.openxmlformats.org/officeDocument/2006/relationships/image" Target="../media/image2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11" Type="http://schemas.openxmlformats.org/officeDocument/2006/relationships/image" Target="../media/image14.emf"/><Relationship Id="rId5" Type="http://schemas.openxmlformats.org/officeDocument/2006/relationships/image" Target="../media/image10.emf"/><Relationship Id="rId15" Type="http://schemas.openxmlformats.org/officeDocument/2006/relationships/image" Target="../media/image17.emf"/><Relationship Id="rId10" Type="http://schemas.openxmlformats.org/officeDocument/2006/relationships/image" Target="../media/image13.emf"/><Relationship Id="rId4" Type="http://schemas.openxmlformats.org/officeDocument/2006/relationships/image" Target="../media/image9.emf"/><Relationship Id="rId9" Type="http://schemas.openxmlformats.org/officeDocument/2006/relationships/image" Target="../media/image12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21771</xdr:colOff>
          <xdr:row>0</xdr:row>
          <xdr:rowOff>16329</xdr:rowOff>
        </xdr:from>
        <xdr:to>
          <xdr:col>0</xdr:col>
          <xdr:colOff>1475014</xdr:colOff>
          <xdr:row>1</xdr:row>
          <xdr:rowOff>179614</xdr:rowOff>
        </xdr:to>
        <xdr:sp macro="" textlink="">
          <xdr:nvSpPr>
            <xdr:cNvPr id="1026" name="btnShowRealtimeDat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12</xdr:row>
          <xdr:rowOff>10886</xdr:rowOff>
        </xdr:from>
        <xdr:to>
          <xdr:col>5</xdr:col>
          <xdr:colOff>636814</xdr:colOff>
          <xdr:row>13</xdr:row>
          <xdr:rowOff>0</xdr:rowOff>
        </xdr:to>
        <xdr:sp macro="" textlink="">
          <xdr:nvSpPr>
            <xdr:cNvPr id="1032" name="spnChartMonth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10</xdr:row>
          <xdr:rowOff>16329</xdr:rowOff>
        </xdr:from>
        <xdr:to>
          <xdr:col>5</xdr:col>
          <xdr:colOff>636814</xdr:colOff>
          <xdr:row>11</xdr:row>
          <xdr:rowOff>5443</xdr:rowOff>
        </xdr:to>
        <xdr:sp macro="" textlink="">
          <xdr:nvSpPr>
            <xdr:cNvPr id="1035" name="spnChartYe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8</xdr:row>
          <xdr:rowOff>16329</xdr:rowOff>
        </xdr:from>
        <xdr:to>
          <xdr:col>5</xdr:col>
          <xdr:colOff>636814</xdr:colOff>
          <xdr:row>9</xdr:row>
          <xdr:rowOff>5443</xdr:rowOff>
        </xdr:to>
        <xdr:sp macro="" textlink="">
          <xdr:nvSpPr>
            <xdr:cNvPr id="1036" name="spnBillingTim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10886</xdr:colOff>
          <xdr:row>7</xdr:row>
          <xdr:rowOff>5443</xdr:rowOff>
        </xdr:from>
        <xdr:to>
          <xdr:col>5</xdr:col>
          <xdr:colOff>642257</xdr:colOff>
          <xdr:row>7</xdr:row>
          <xdr:rowOff>179614</xdr:rowOff>
        </xdr:to>
        <xdr:sp macro="" textlink="">
          <xdr:nvSpPr>
            <xdr:cNvPr id="1037" name="spnBillingDay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21771</xdr:colOff>
          <xdr:row>9</xdr:row>
          <xdr:rowOff>108857</xdr:rowOff>
        </xdr:from>
        <xdr:to>
          <xdr:col>6</xdr:col>
          <xdr:colOff>870857</xdr:colOff>
          <xdr:row>11</xdr:row>
          <xdr:rowOff>87086</xdr:rowOff>
        </xdr:to>
        <xdr:sp macro="" textlink="">
          <xdr:nvSpPr>
            <xdr:cNvPr id="1038" name="btnReportYear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21771</xdr:colOff>
          <xdr:row>11</xdr:row>
          <xdr:rowOff>97971</xdr:rowOff>
        </xdr:from>
        <xdr:to>
          <xdr:col>6</xdr:col>
          <xdr:colOff>870857</xdr:colOff>
          <xdr:row>13</xdr:row>
          <xdr:rowOff>76200</xdr:rowOff>
        </xdr:to>
        <xdr:sp macro="" textlink="">
          <xdr:nvSpPr>
            <xdr:cNvPr id="1039" name="btnReportMonth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54429</xdr:colOff>
          <xdr:row>0</xdr:row>
          <xdr:rowOff>59871</xdr:rowOff>
        </xdr:from>
        <xdr:to>
          <xdr:col>4</xdr:col>
          <xdr:colOff>745671</xdr:colOff>
          <xdr:row>1</xdr:row>
          <xdr:rowOff>157843</xdr:rowOff>
        </xdr:to>
        <xdr:sp macro="" textlink="">
          <xdr:nvSpPr>
            <xdr:cNvPr id="1042" name="chkUseBillingCyc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0</xdr:row>
          <xdr:rowOff>54429</xdr:rowOff>
        </xdr:from>
        <xdr:to>
          <xdr:col>7</xdr:col>
          <xdr:colOff>97971</xdr:colOff>
          <xdr:row>1</xdr:row>
          <xdr:rowOff>152400</xdr:rowOff>
        </xdr:to>
        <xdr:sp macro="" textlink="">
          <xdr:nvSpPr>
            <xdr:cNvPr id="1044" name="chkBillingCycleIsUserDefined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14</xdr:row>
          <xdr:rowOff>10886</xdr:rowOff>
        </xdr:from>
        <xdr:to>
          <xdr:col>5</xdr:col>
          <xdr:colOff>636814</xdr:colOff>
          <xdr:row>15</xdr:row>
          <xdr:rowOff>0</xdr:rowOff>
        </xdr:to>
        <xdr:sp macro="" textlink="">
          <xdr:nvSpPr>
            <xdr:cNvPr id="1052" name="spnChartDay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16329</xdr:colOff>
          <xdr:row>13</xdr:row>
          <xdr:rowOff>92529</xdr:rowOff>
        </xdr:from>
        <xdr:to>
          <xdr:col>6</xdr:col>
          <xdr:colOff>865414</xdr:colOff>
          <xdr:row>15</xdr:row>
          <xdr:rowOff>70757</xdr:rowOff>
        </xdr:to>
        <xdr:sp macro="" textlink="">
          <xdr:nvSpPr>
            <xdr:cNvPr id="1053" name="btnReportDay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745671</xdr:colOff>
          <xdr:row>13</xdr:row>
          <xdr:rowOff>103414</xdr:rowOff>
        </xdr:from>
        <xdr:to>
          <xdr:col>3</xdr:col>
          <xdr:colOff>1197429</xdr:colOff>
          <xdr:row>15</xdr:row>
          <xdr:rowOff>81643</xdr:rowOff>
        </xdr:to>
        <xdr:sp macro="" textlink="">
          <xdr:nvSpPr>
            <xdr:cNvPr id="1054" name="btnNowChartDay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903514</xdr:colOff>
          <xdr:row>11</xdr:row>
          <xdr:rowOff>97971</xdr:rowOff>
        </xdr:from>
        <xdr:to>
          <xdr:col>6</xdr:col>
          <xdr:colOff>1736271</xdr:colOff>
          <xdr:row>13</xdr:row>
          <xdr:rowOff>76200</xdr:rowOff>
        </xdr:to>
        <xdr:sp macro="" textlink="">
          <xdr:nvSpPr>
            <xdr:cNvPr id="1055" name="btnClearPagesMonth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903514</xdr:colOff>
          <xdr:row>13</xdr:row>
          <xdr:rowOff>92529</xdr:rowOff>
        </xdr:from>
        <xdr:to>
          <xdr:col>6</xdr:col>
          <xdr:colOff>1736271</xdr:colOff>
          <xdr:row>15</xdr:row>
          <xdr:rowOff>70757</xdr:rowOff>
        </xdr:to>
        <xdr:sp macro="" textlink="">
          <xdr:nvSpPr>
            <xdr:cNvPr id="1056" name="btnClearPagesDay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745671</xdr:colOff>
          <xdr:row>11</xdr:row>
          <xdr:rowOff>103414</xdr:rowOff>
        </xdr:from>
        <xdr:to>
          <xdr:col>3</xdr:col>
          <xdr:colOff>1197429</xdr:colOff>
          <xdr:row>13</xdr:row>
          <xdr:rowOff>81643</xdr:rowOff>
        </xdr:to>
        <xdr:sp macro="" textlink="">
          <xdr:nvSpPr>
            <xdr:cNvPr id="1058" name="btnNowChartMonth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745671</xdr:colOff>
          <xdr:row>9</xdr:row>
          <xdr:rowOff>103414</xdr:rowOff>
        </xdr:from>
        <xdr:to>
          <xdr:col>3</xdr:col>
          <xdr:colOff>1197429</xdr:colOff>
          <xdr:row>11</xdr:row>
          <xdr:rowOff>81643</xdr:rowOff>
        </xdr:to>
        <xdr:sp macro="" textlink="">
          <xdr:nvSpPr>
            <xdr:cNvPr id="1059" name="btnNowChartYea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1491343</xdr:colOff>
          <xdr:row>0</xdr:row>
          <xdr:rowOff>16329</xdr:rowOff>
        </xdr:from>
        <xdr:to>
          <xdr:col>0</xdr:col>
          <xdr:colOff>1964871</xdr:colOff>
          <xdr:row>1</xdr:row>
          <xdr:rowOff>179614</xdr:rowOff>
        </xdr:to>
        <xdr:sp macro="" textlink="">
          <xdr:nvSpPr>
            <xdr:cNvPr id="1060" name="btnClearRealtimeData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27214</xdr:colOff>
          <xdr:row>6</xdr:row>
          <xdr:rowOff>0</xdr:rowOff>
        </xdr:from>
        <xdr:to>
          <xdr:col>6</xdr:col>
          <xdr:colOff>1219200</xdr:colOff>
          <xdr:row>9</xdr:row>
          <xdr:rowOff>92529</xdr:rowOff>
        </xdr:to>
        <xdr:sp macro="" textlink="">
          <xdr:nvSpPr>
            <xdr:cNvPr id="1061" name="btnAdjustDay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10886</xdr:colOff>
          <xdr:row>0</xdr:row>
          <xdr:rowOff>16329</xdr:rowOff>
        </xdr:from>
        <xdr:to>
          <xdr:col>1</xdr:col>
          <xdr:colOff>1480457</xdr:colOff>
          <xdr:row>1</xdr:row>
          <xdr:rowOff>179614</xdr:rowOff>
        </xdr:to>
        <xdr:sp macro="" textlink="">
          <xdr:nvSpPr>
            <xdr:cNvPr id="1066" name="btnBackupArchivedData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1251857</xdr:colOff>
          <xdr:row>5</xdr:row>
          <xdr:rowOff>174171</xdr:rowOff>
        </xdr:from>
        <xdr:to>
          <xdr:col>8</xdr:col>
          <xdr:colOff>103414</xdr:colOff>
          <xdr:row>9</xdr:row>
          <xdr:rowOff>92529</xdr:rowOff>
        </xdr:to>
        <xdr:sp macro="" textlink="">
          <xdr:nvSpPr>
            <xdr:cNvPr id="1067" name="btnAdjustTime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0</xdr:row>
          <xdr:rowOff>16329</xdr:rowOff>
        </xdr:from>
        <xdr:to>
          <xdr:col>1</xdr:col>
          <xdr:colOff>1921329</xdr:colOff>
          <xdr:row>1</xdr:row>
          <xdr:rowOff>179614</xdr:rowOff>
        </xdr:to>
        <xdr:sp macro="" textlink="">
          <xdr:nvSpPr>
            <xdr:cNvPr id="1068" name="btnBrowseArchivedData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114300</xdr:rowOff>
        </xdr:from>
        <xdr:to>
          <xdr:col>8</xdr:col>
          <xdr:colOff>272143</xdr:colOff>
          <xdr:row>15</xdr:row>
          <xdr:rowOff>27214</xdr:rowOff>
        </xdr:to>
        <xdr:sp macro="" textlink="">
          <xdr:nvSpPr>
            <xdr:cNvPr id="1069" name="chkShowUnitsInColumnHeading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94343</xdr:colOff>
      <xdr:row>16</xdr:row>
      <xdr:rowOff>48986</xdr:rowOff>
    </xdr:from>
    <xdr:to>
      <xdr:col>7</xdr:col>
      <xdr:colOff>395514</xdr:colOff>
      <xdr:row>33</xdr:row>
      <xdr:rowOff>125186</xdr:rowOff>
    </xdr:to>
    <xdr:graphicFrame macro="">
      <xdr:nvGraphicFramePr>
        <xdr:cNvPr id="2" name="Energy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0.01569</cdr:y>
    </cdr:from>
    <cdr:to>
      <cdr:x>1</cdr:x>
      <cdr:y>0.09412</cdr:y>
    </cdr:to>
    <cdr:sp macro="" textlink="">
      <cdr:nvSpPr>
        <cdr:cNvPr id="2" name="TotalEnergy">
          <a:extLst xmlns:a="http://schemas.openxmlformats.org/drawingml/2006/main">
            <a:ext uri="{FF2B5EF4-FFF2-40B4-BE49-F238E27FC236}">
              <a16:creationId xmlns:a16="http://schemas.microsoft.com/office/drawing/2014/main" id="{65D2BAFB-BE23-413E-80F1-DFB718EDB4C2}"/>
            </a:ext>
          </a:extLst>
        </cdr:cNvPr>
        <cdr:cNvSpPr txBox="1"/>
      </cdr:nvSpPr>
      <cdr:spPr>
        <a:xfrm xmlns:a="http://schemas.openxmlformats.org/drawingml/2006/main">
          <a:off x="0" y="50800"/>
          <a:ext cx="54229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pPr algn="r"/>
          <a:r>
            <a:rPr lang="en-US" sz="1000" b="1">
              <a:latin typeface="Tahoma" panose="020B0604030504040204" pitchFamily="34" charset="0"/>
            </a:rPr>
            <a:t>0.00 Wh</a:t>
          </a:r>
        </a:p>
      </cdr:txBody>
    </cdr:sp>
  </cdr:relSizeAnchor>
  <cdr:relSizeAnchor xmlns:cdr="http://schemas.openxmlformats.org/drawingml/2006/chartDrawing">
    <cdr:from>
      <cdr:x>0</cdr:x>
      <cdr:y>0.01569</cdr:y>
    </cdr:from>
    <cdr:to>
      <cdr:x>1</cdr:x>
      <cdr:y>0.09412</cdr:y>
    </cdr:to>
    <cdr:sp macro="" textlink="">
      <cdr:nvSpPr>
        <cdr:cNvPr id="3" name="TimeSpan">
          <a:extLst xmlns:a="http://schemas.openxmlformats.org/drawingml/2006/main">
            <a:ext uri="{FF2B5EF4-FFF2-40B4-BE49-F238E27FC236}">
              <a16:creationId xmlns:a16="http://schemas.microsoft.com/office/drawing/2014/main" id="{76326771-6F5F-41EB-882F-365B697B9810}"/>
            </a:ext>
          </a:extLst>
        </cdr:cNvPr>
        <cdr:cNvSpPr txBox="1"/>
      </cdr:nvSpPr>
      <cdr:spPr>
        <a:xfrm xmlns:a="http://schemas.openxmlformats.org/drawingml/2006/main">
          <a:off x="0" y="50800"/>
          <a:ext cx="54229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pPr algn="l"/>
          <a:r>
            <a:rPr lang="en-US" sz="1000" b="1">
              <a:latin typeface="Tahoma" panose="020B0604030504040204" pitchFamily="34" charset="0"/>
            </a:rPr>
            <a:t>January 1, 2021</a:t>
          </a:r>
        </a:p>
      </cdr:txBody>
    </cdr:sp>
  </cdr:relSizeAnchor>
  <cdr:relSizeAnchor xmlns:cdr="http://schemas.openxmlformats.org/drawingml/2006/chartDrawing">
    <cdr:from>
      <cdr:x>0</cdr:x>
      <cdr:y>0.09804</cdr:y>
    </cdr:from>
    <cdr:to>
      <cdr:x>1</cdr:x>
      <cdr:y>0.16863</cdr:y>
    </cdr:to>
    <cdr:sp macro="" textlink="">
      <cdr:nvSpPr>
        <cdr:cNvPr id="4" name="TimeSpanDays">
          <a:extLst xmlns:a="http://schemas.openxmlformats.org/drawingml/2006/main">
            <a:ext uri="{FF2B5EF4-FFF2-40B4-BE49-F238E27FC236}">
              <a16:creationId xmlns:a16="http://schemas.microsoft.com/office/drawing/2014/main" id="{6B0317AD-04A0-4435-861B-CCE56A50E489}"/>
            </a:ext>
          </a:extLst>
        </cdr:cNvPr>
        <cdr:cNvSpPr txBox="1"/>
      </cdr:nvSpPr>
      <cdr:spPr>
        <a:xfrm xmlns:a="http://schemas.openxmlformats.org/drawingml/2006/main">
          <a:off x="0" y="317500"/>
          <a:ext cx="54229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b"/>
        <a:lstStyle xmlns:a="http://schemas.openxmlformats.org/drawingml/2006/main"/>
        <a:p xmlns:a="http://schemas.openxmlformats.org/drawingml/2006/main">
          <a:pPr algn="ctr"/>
          <a:r>
            <a:rPr lang="en-US" sz="800" b="1">
              <a:latin typeface="Tahoma" panose="020B0604030504040204" pitchFamily="34" charset="0"/>
            </a:rPr>
            <a:t>8 hours, 57 minutes of daylight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9.emf"/><Relationship Id="rId39" Type="http://schemas.openxmlformats.org/officeDocument/2006/relationships/control" Target="../activeX/activeX20.xml"/><Relationship Id="rId21" Type="http://schemas.openxmlformats.org/officeDocument/2006/relationships/control" Target="../activeX/activeX10.xml"/><Relationship Id="rId34" Type="http://schemas.openxmlformats.org/officeDocument/2006/relationships/image" Target="../media/image13.emf"/><Relationship Id="rId42" Type="http://schemas.openxmlformats.org/officeDocument/2006/relationships/image" Target="../media/image17.emf"/><Relationship Id="rId7" Type="http://schemas.openxmlformats.org/officeDocument/2006/relationships/control" Target="../activeX/activeX2.xml"/><Relationship Id="rId2" Type="http://schemas.openxmlformats.org/officeDocument/2006/relationships/customProperty" Target="../customProperty1.bin"/><Relationship Id="rId16" Type="http://schemas.openxmlformats.org/officeDocument/2006/relationships/image" Target="../media/image6.emf"/><Relationship Id="rId20" Type="http://schemas.openxmlformats.org/officeDocument/2006/relationships/control" Target="../activeX/activeX9.xml"/><Relationship Id="rId29" Type="http://schemas.openxmlformats.org/officeDocument/2006/relationships/control" Target="../activeX/activeX15.xml"/><Relationship Id="rId41" Type="http://schemas.openxmlformats.org/officeDocument/2006/relationships/control" Target="../activeX/activeX2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8.emf"/><Relationship Id="rId32" Type="http://schemas.openxmlformats.org/officeDocument/2006/relationships/image" Target="../media/image12.emf"/><Relationship Id="rId37" Type="http://schemas.openxmlformats.org/officeDocument/2006/relationships/control" Target="../activeX/activeX19.xml"/><Relationship Id="rId40" Type="http://schemas.openxmlformats.org/officeDocument/2006/relationships/image" Target="../media/image16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2.xml"/><Relationship Id="rId28" Type="http://schemas.openxmlformats.org/officeDocument/2006/relationships/image" Target="../media/image10.emf"/><Relationship Id="rId36" Type="http://schemas.openxmlformats.org/officeDocument/2006/relationships/image" Target="../media/image14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6.xml"/><Relationship Id="rId44" Type="http://schemas.openxmlformats.org/officeDocument/2006/relationships/image" Target="../media/image18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control" Target="../activeX/activeX11.xml"/><Relationship Id="rId27" Type="http://schemas.openxmlformats.org/officeDocument/2006/relationships/control" Target="../activeX/activeX14.xml"/><Relationship Id="rId30" Type="http://schemas.openxmlformats.org/officeDocument/2006/relationships/image" Target="../media/image11.emf"/><Relationship Id="rId35" Type="http://schemas.openxmlformats.org/officeDocument/2006/relationships/control" Target="../activeX/activeX18.xml"/><Relationship Id="rId43" Type="http://schemas.openxmlformats.org/officeDocument/2006/relationships/control" Target="../activeX/activeX22.xml"/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3.xml"/><Relationship Id="rId33" Type="http://schemas.openxmlformats.org/officeDocument/2006/relationships/control" Target="../activeX/activeX17.xml"/><Relationship Id="rId38" Type="http://schemas.openxmlformats.org/officeDocument/2006/relationships/image" Target="../media/image15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7" Type="http://schemas.openxmlformats.org/officeDocument/2006/relationships/customProperty" Target="../customProperty9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Relationship Id="rId6" Type="http://schemas.openxmlformats.org/officeDocument/2006/relationships/customProperty" Target="../customProperty8.bin"/><Relationship Id="rId5" Type="http://schemas.openxmlformats.org/officeDocument/2006/relationships/customProperty" Target="../customProperty7.bin"/><Relationship Id="rId4" Type="http://schemas.openxmlformats.org/officeDocument/2006/relationships/customProperty" Target="../customProperty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E99A8-4646-410A-BA47-736A5B4D1DCC}">
  <sheetPr codeName="Main"/>
  <dimension ref="A3:G68"/>
  <sheetViews>
    <sheetView tabSelected="1" workbookViewId="0">
      <selection activeCell="D36" sqref="D36"/>
    </sheetView>
  </sheetViews>
  <sheetFormatPr defaultRowHeight="14.6" x14ac:dyDescent="0.4"/>
  <cols>
    <col min="1" max="1" width="28.765625" style="47" customWidth="1"/>
    <col min="2" max="2" width="27.69140625" style="34" customWidth="1"/>
    <col min="3" max="3" width="1.921875" customWidth="1"/>
    <col min="4" max="4" width="17.07421875" customWidth="1"/>
    <col min="5" max="5" width="15.3828125" style="3" customWidth="1"/>
    <col min="6" max="6" width="12.53515625" customWidth="1"/>
    <col min="7" max="7" width="25.4609375" customWidth="1"/>
  </cols>
  <sheetData>
    <row r="3" spans="1:7" x14ac:dyDescent="0.4">
      <c r="A3" s="47" t="s">
        <v>11</v>
      </c>
      <c r="D3" t="s">
        <v>61</v>
      </c>
      <c r="E3" s="1"/>
      <c r="F3" t="s">
        <v>65</v>
      </c>
      <c r="G3" s="29"/>
    </row>
    <row r="4" spans="1:7" x14ac:dyDescent="0.4">
      <c r="A4" s="47" t="s">
        <v>3</v>
      </c>
      <c r="D4" t="s">
        <v>62</v>
      </c>
      <c r="E4" s="1"/>
      <c r="F4" t="s">
        <v>70</v>
      </c>
      <c r="G4" s="32"/>
    </row>
    <row r="5" spans="1:7" x14ac:dyDescent="0.4">
      <c r="A5" s="47" t="s">
        <v>5</v>
      </c>
      <c r="D5" t="s">
        <v>9</v>
      </c>
      <c r="E5" s="1"/>
      <c r="F5" t="s">
        <v>63</v>
      </c>
      <c r="G5" s="28"/>
    </row>
    <row r="6" spans="1:7" x14ac:dyDescent="0.4">
      <c r="A6" s="47" t="s">
        <v>4</v>
      </c>
      <c r="D6" t="s">
        <v>81</v>
      </c>
      <c r="E6" s="31"/>
      <c r="F6" t="s">
        <v>64</v>
      </c>
      <c r="G6" s="28"/>
    </row>
    <row r="7" spans="1:7" x14ac:dyDescent="0.4">
      <c r="A7" s="47" t="s">
        <v>6</v>
      </c>
    </row>
    <row r="8" spans="1:7" x14ac:dyDescent="0.4">
      <c r="A8" s="47" t="s">
        <v>98</v>
      </c>
      <c r="D8" t="s">
        <v>40</v>
      </c>
      <c r="E8" s="8">
        <v>6</v>
      </c>
    </row>
    <row r="9" spans="1:7" x14ac:dyDescent="0.4">
      <c r="A9" s="47" t="s">
        <v>97</v>
      </c>
      <c r="D9" t="s">
        <v>41</v>
      </c>
      <c r="E9" s="6">
        <v>0.5</v>
      </c>
    </row>
    <row r="10" spans="1:7" x14ac:dyDescent="0.4">
      <c r="A10" s="47" t="s">
        <v>32</v>
      </c>
      <c r="E10" s="5"/>
    </row>
    <row r="11" spans="1:7" x14ac:dyDescent="0.4">
      <c r="A11" s="47" t="s">
        <v>31</v>
      </c>
      <c r="D11" t="s">
        <v>47</v>
      </c>
      <c r="E11" s="10">
        <v>2023</v>
      </c>
    </row>
    <row r="12" spans="1:7" x14ac:dyDescent="0.4">
      <c r="A12" s="47" t="s">
        <v>15</v>
      </c>
    </row>
    <row r="13" spans="1:7" x14ac:dyDescent="0.4">
      <c r="A13" s="47" t="s">
        <v>16</v>
      </c>
      <c r="D13" t="s">
        <v>37</v>
      </c>
      <c r="E13" s="4">
        <v>45078</v>
      </c>
    </row>
    <row r="14" spans="1:7" x14ac:dyDescent="0.4">
      <c r="A14" s="47" t="s">
        <v>1</v>
      </c>
      <c r="B14" s="46"/>
      <c r="E14" s="4"/>
    </row>
    <row r="15" spans="1:7" x14ac:dyDescent="0.4">
      <c r="A15" s="47" t="s">
        <v>102</v>
      </c>
      <c r="B15" s="35"/>
      <c r="D15" t="s">
        <v>38</v>
      </c>
      <c r="E15" s="7">
        <v>44197</v>
      </c>
    </row>
    <row r="16" spans="1:7" x14ac:dyDescent="0.4">
      <c r="A16" s="47" t="s">
        <v>33</v>
      </c>
      <c r="B16" s="33"/>
      <c r="E16" s="4"/>
    </row>
    <row r="17" spans="1:5" x14ac:dyDescent="0.4">
      <c r="A17" s="47" t="s">
        <v>18</v>
      </c>
      <c r="B17" s="36"/>
      <c r="E17" s="7"/>
    </row>
    <row r="18" spans="1:5" x14ac:dyDescent="0.4">
      <c r="A18" s="47" t="s">
        <v>17</v>
      </c>
      <c r="B18" s="37"/>
      <c r="E18" s="7"/>
    </row>
    <row r="19" spans="1:5" x14ac:dyDescent="0.4">
      <c r="A19" s="47" t="s">
        <v>19</v>
      </c>
      <c r="B19" s="38"/>
    </row>
    <row r="20" spans="1:5" x14ac:dyDescent="0.4">
      <c r="A20" s="47" t="s">
        <v>21</v>
      </c>
      <c r="B20" s="36"/>
    </row>
    <row r="21" spans="1:5" x14ac:dyDescent="0.4">
      <c r="A21" s="47" t="s">
        <v>20</v>
      </c>
      <c r="B21" s="37"/>
    </row>
    <row r="22" spans="1:5" x14ac:dyDescent="0.4">
      <c r="A22" s="47" t="s">
        <v>34</v>
      </c>
      <c r="B22" s="33"/>
    </row>
    <row r="23" spans="1:5" x14ac:dyDescent="0.4">
      <c r="A23" s="47" t="s">
        <v>39</v>
      </c>
    </row>
    <row r="24" spans="1:5" x14ac:dyDescent="0.4">
      <c r="A24" s="47" t="s">
        <v>48</v>
      </c>
      <c r="B24" s="40"/>
    </row>
    <row r="25" spans="1:5" ht="15.9" customHeight="1" x14ac:dyDescent="0.4">
      <c r="A25" s="47" t="s">
        <v>99</v>
      </c>
      <c r="B25" s="49"/>
    </row>
    <row r="26" spans="1:5" x14ac:dyDescent="0.4">
      <c r="A26" s="47" t="s">
        <v>100</v>
      </c>
      <c r="B26" s="48"/>
    </row>
    <row r="27" spans="1:5" x14ac:dyDescent="0.4">
      <c r="A27" s="47" t="s">
        <v>36</v>
      </c>
      <c r="B27" s="41"/>
    </row>
    <row r="28" spans="1:5" x14ac:dyDescent="0.4">
      <c r="A28" s="47" t="s">
        <v>35</v>
      </c>
      <c r="B28" s="42"/>
    </row>
    <row r="29" spans="1:5" x14ac:dyDescent="0.4">
      <c r="A29" s="47" t="s">
        <v>71</v>
      </c>
      <c r="B29" s="43"/>
    </row>
    <row r="30" spans="1:5" x14ac:dyDescent="0.4">
      <c r="A30" s="47" t="s">
        <v>74</v>
      </c>
      <c r="B30" s="43"/>
    </row>
    <row r="31" spans="1:5" x14ac:dyDescent="0.4">
      <c r="A31" s="47" t="s">
        <v>72</v>
      </c>
    </row>
    <row r="32" spans="1:5" x14ac:dyDescent="0.4">
      <c r="A32" s="47" t="s">
        <v>73</v>
      </c>
    </row>
    <row r="33" spans="1:2" x14ac:dyDescent="0.4">
      <c r="A33" s="47" t="s">
        <v>92</v>
      </c>
      <c r="B33" s="44"/>
    </row>
    <row r="34" spans="1:2" x14ac:dyDescent="0.4">
      <c r="A34" s="47" t="s">
        <v>96</v>
      </c>
    </row>
    <row r="35" spans="1:2" x14ac:dyDescent="0.4">
      <c r="A35" s="47" t="s">
        <v>86</v>
      </c>
      <c r="B35" s="39"/>
    </row>
    <row r="36" spans="1:2" x14ac:dyDescent="0.4">
      <c r="A36" s="47" t="s">
        <v>87</v>
      </c>
      <c r="B36" s="39"/>
    </row>
    <row r="37" spans="1:2" x14ac:dyDescent="0.4">
      <c r="A37" s="47" t="s">
        <v>88</v>
      </c>
      <c r="B37" s="39"/>
    </row>
    <row r="38" spans="1:2" x14ac:dyDescent="0.4">
      <c r="A38" s="47" t="s">
        <v>89</v>
      </c>
      <c r="B38" s="39"/>
    </row>
    <row r="39" spans="1:2" x14ac:dyDescent="0.4">
      <c r="A39" s="47" t="s">
        <v>90</v>
      </c>
      <c r="B39" s="39"/>
    </row>
    <row r="40" spans="1:2" x14ac:dyDescent="0.4">
      <c r="A40" s="47" t="s">
        <v>91</v>
      </c>
      <c r="B40" s="45"/>
    </row>
    <row r="41" spans="1:2" x14ac:dyDescent="0.4">
      <c r="A41" s="47" t="s">
        <v>12</v>
      </c>
      <c r="B41" s="39"/>
    </row>
    <row r="42" spans="1:2" x14ac:dyDescent="0.4">
      <c r="A42" s="47" t="s">
        <v>13</v>
      </c>
      <c r="B42" s="39"/>
    </row>
    <row r="43" spans="1:2" x14ac:dyDescent="0.4">
      <c r="A43" s="47" t="s">
        <v>14</v>
      </c>
      <c r="B43" s="39"/>
    </row>
    <row r="44" spans="1:2" x14ac:dyDescent="0.4">
      <c r="A44" s="47" t="s">
        <v>22</v>
      </c>
      <c r="B44" s="33"/>
    </row>
    <row r="45" spans="1:2" x14ac:dyDescent="0.4">
      <c r="A45" s="47" t="s">
        <v>23</v>
      </c>
      <c r="B45" s="36"/>
    </row>
    <row r="46" spans="1:2" x14ac:dyDescent="0.4">
      <c r="A46" s="47" t="s">
        <v>24</v>
      </c>
      <c r="B46" s="36"/>
    </row>
    <row r="47" spans="1:2" x14ac:dyDescent="0.4">
      <c r="A47" s="47" t="s">
        <v>25</v>
      </c>
      <c r="B47" s="33"/>
    </row>
    <row r="48" spans="1:2" x14ac:dyDescent="0.4">
      <c r="A48" s="47" t="s">
        <v>26</v>
      </c>
      <c r="B48" s="36"/>
    </row>
    <row r="49" spans="1:2" x14ac:dyDescent="0.4">
      <c r="A49" s="47" t="s">
        <v>27</v>
      </c>
      <c r="B49" s="36"/>
    </row>
    <row r="50" spans="1:2" x14ac:dyDescent="0.4">
      <c r="A50" s="47" t="s">
        <v>30</v>
      </c>
      <c r="B50" s="33"/>
    </row>
    <row r="51" spans="1:2" x14ac:dyDescent="0.4">
      <c r="A51" s="47" t="s">
        <v>28</v>
      </c>
      <c r="B51" s="36"/>
    </row>
    <row r="52" spans="1:2" x14ac:dyDescent="0.4">
      <c r="A52" s="47" t="s">
        <v>29</v>
      </c>
      <c r="B52" s="36"/>
    </row>
    <row r="53" spans="1:2" x14ac:dyDescent="0.4">
      <c r="A53" s="47" t="s">
        <v>0</v>
      </c>
    </row>
    <row r="54" spans="1:2" x14ac:dyDescent="0.4">
      <c r="A54" s="47" t="s">
        <v>10</v>
      </c>
    </row>
    <row r="55" spans="1:2" x14ac:dyDescent="0.4">
      <c r="A55" s="47" t="s">
        <v>2</v>
      </c>
    </row>
    <row r="56" spans="1:2" x14ac:dyDescent="0.4">
      <c r="A56" s="47" t="s">
        <v>7</v>
      </c>
    </row>
    <row r="57" spans="1:2" x14ac:dyDescent="0.4">
      <c r="A57" s="47" t="s">
        <v>8</v>
      </c>
    </row>
    <row r="58" spans="1:2" x14ac:dyDescent="0.4">
      <c r="A58" s="47" t="s">
        <v>9</v>
      </c>
    </row>
    <row r="59" spans="1:2" x14ac:dyDescent="0.4">
      <c r="A59" s="47" t="s">
        <v>67</v>
      </c>
    </row>
    <row r="60" spans="1:2" x14ac:dyDescent="0.4">
      <c r="A60" s="47" t="s">
        <v>68</v>
      </c>
    </row>
    <row r="61" spans="1:2" x14ac:dyDescent="0.4">
      <c r="A61" s="47" t="s">
        <v>69</v>
      </c>
    </row>
    <row r="62" spans="1:2" x14ac:dyDescent="0.4">
      <c r="A62" s="47" t="s">
        <v>66</v>
      </c>
    </row>
    <row r="63" spans="1:2" x14ac:dyDescent="0.4">
      <c r="A63" s="47" t="s">
        <v>78</v>
      </c>
    </row>
    <row r="64" spans="1:2" x14ac:dyDescent="0.4">
      <c r="A64" s="47" t="s">
        <v>79</v>
      </c>
    </row>
    <row r="65" spans="1:1" x14ac:dyDescent="0.4">
      <c r="A65" s="47" t="s">
        <v>80</v>
      </c>
    </row>
    <row r="66" spans="1:1" x14ac:dyDescent="0.4">
      <c r="A66" s="47" t="s">
        <v>94</v>
      </c>
    </row>
    <row r="67" spans="1:1" x14ac:dyDescent="0.4">
      <c r="A67" s="47" t="s">
        <v>93</v>
      </c>
    </row>
    <row r="68" spans="1:1" x14ac:dyDescent="0.4">
      <c r="A68" s="47" t="s">
        <v>95</v>
      </c>
    </row>
  </sheetData>
  <dataConsolidate link="1"/>
  <pageMargins left="0.7" right="0.7" top="0.75" bottom="0.75" header="0.3" footer="0.3"/>
  <pageSetup orientation="portrait" r:id="rId1"/>
  <customProperties>
    <customPr name="SheetIdentifier" r:id="rId2"/>
  </customProperties>
  <drawing r:id="rId3"/>
  <legacyDrawing r:id="rId4"/>
  <controls>
    <mc:AlternateContent xmlns:mc="http://schemas.openxmlformats.org/markup-compatibility/2006">
      <mc:Choice Requires="x14">
        <control shapeId="1068" r:id="rId5" name="btnBrowseArchivedData">
          <controlPr defaultSize="0" autoLine="0" r:id="rId6">
            <anchor moveWithCells="1">
              <from>
                <xdr:col>1</xdr:col>
                <xdr:colOff>1485900</xdr:colOff>
                <xdr:row>0</xdr:row>
                <xdr:rowOff>16329</xdr:rowOff>
              </from>
              <to>
                <xdr:col>1</xdr:col>
                <xdr:colOff>1921329</xdr:colOff>
                <xdr:row>1</xdr:row>
                <xdr:rowOff>179614</xdr:rowOff>
              </to>
            </anchor>
          </controlPr>
        </control>
      </mc:Choice>
      <mc:Fallback>
        <control shapeId="1068" r:id="rId5" name="btnBrowseArchivedData"/>
      </mc:Fallback>
    </mc:AlternateContent>
    <mc:AlternateContent xmlns:mc="http://schemas.openxmlformats.org/markup-compatibility/2006">
      <mc:Choice Requires="x14">
        <control shapeId="1067" r:id="rId7" name="btnAdjustTime">
          <controlPr defaultSize="0" autoLine="0" r:id="rId8">
            <anchor moveWithCells="1">
              <from>
                <xdr:col>6</xdr:col>
                <xdr:colOff>1251857</xdr:colOff>
                <xdr:row>5</xdr:row>
                <xdr:rowOff>174171</xdr:rowOff>
              </from>
              <to>
                <xdr:col>8</xdr:col>
                <xdr:colOff>103414</xdr:colOff>
                <xdr:row>9</xdr:row>
                <xdr:rowOff>92529</xdr:rowOff>
              </to>
            </anchor>
          </controlPr>
        </control>
      </mc:Choice>
      <mc:Fallback>
        <control shapeId="1067" r:id="rId7" name="btnAdjustTime"/>
      </mc:Fallback>
    </mc:AlternateContent>
    <mc:AlternateContent xmlns:mc="http://schemas.openxmlformats.org/markup-compatibility/2006">
      <mc:Choice Requires="x14">
        <control shapeId="1061" r:id="rId9" name="btnAdjustDay">
          <controlPr defaultSize="0" autoLine="0" r:id="rId10">
            <anchor moveWithCells="1">
              <from>
                <xdr:col>6</xdr:col>
                <xdr:colOff>27214</xdr:colOff>
                <xdr:row>6</xdr:row>
                <xdr:rowOff>0</xdr:rowOff>
              </from>
              <to>
                <xdr:col>6</xdr:col>
                <xdr:colOff>1219200</xdr:colOff>
                <xdr:row>9</xdr:row>
                <xdr:rowOff>92529</xdr:rowOff>
              </to>
            </anchor>
          </controlPr>
        </control>
      </mc:Choice>
      <mc:Fallback>
        <control shapeId="1061" r:id="rId9" name="btnAdjustDay"/>
      </mc:Fallback>
    </mc:AlternateContent>
    <mc:AlternateContent xmlns:mc="http://schemas.openxmlformats.org/markup-compatibility/2006">
      <mc:Choice Requires="x14">
        <control shapeId="1054" r:id="rId11" name="btnNowChartDay">
          <controlPr defaultSize="0" autoLine="0" r:id="rId12">
            <anchor moveWithCells="1">
              <from>
                <xdr:col>3</xdr:col>
                <xdr:colOff>745671</xdr:colOff>
                <xdr:row>13</xdr:row>
                <xdr:rowOff>103414</xdr:rowOff>
              </from>
              <to>
                <xdr:col>3</xdr:col>
                <xdr:colOff>1197429</xdr:colOff>
                <xdr:row>15</xdr:row>
                <xdr:rowOff>81643</xdr:rowOff>
              </to>
            </anchor>
          </controlPr>
        </control>
      </mc:Choice>
      <mc:Fallback>
        <control shapeId="1054" r:id="rId11" name="btnNowChartDay"/>
      </mc:Fallback>
    </mc:AlternateContent>
    <mc:AlternateContent xmlns:mc="http://schemas.openxmlformats.org/markup-compatibility/2006">
      <mc:Choice Requires="x14">
        <control shapeId="1053" r:id="rId13" name="btnReportDay">
          <controlPr defaultSize="0" autoLine="0" r:id="rId14">
            <anchor moveWithCells="1">
              <from>
                <xdr:col>6</xdr:col>
                <xdr:colOff>16329</xdr:colOff>
                <xdr:row>13</xdr:row>
                <xdr:rowOff>92529</xdr:rowOff>
              </from>
              <to>
                <xdr:col>6</xdr:col>
                <xdr:colOff>865414</xdr:colOff>
                <xdr:row>15</xdr:row>
                <xdr:rowOff>70757</xdr:rowOff>
              </to>
            </anchor>
          </controlPr>
        </control>
      </mc:Choice>
      <mc:Fallback>
        <control shapeId="1053" r:id="rId13" name="btnReportDay"/>
      </mc:Fallback>
    </mc:AlternateContent>
    <mc:AlternateContent xmlns:mc="http://schemas.openxmlformats.org/markup-compatibility/2006">
      <mc:Choice Requires="x14">
        <control shapeId="1052" r:id="rId15" name="spnChartDay">
          <controlPr defaultSize="0" autoLine="0" r:id="rId16">
            <anchor moveWithCells="1">
              <from>
                <xdr:col>5</xdr:col>
                <xdr:colOff>5443</xdr:colOff>
                <xdr:row>14</xdr:row>
                <xdr:rowOff>10886</xdr:rowOff>
              </from>
              <to>
                <xdr:col>5</xdr:col>
                <xdr:colOff>636814</xdr:colOff>
                <xdr:row>15</xdr:row>
                <xdr:rowOff>0</xdr:rowOff>
              </to>
            </anchor>
          </controlPr>
        </control>
      </mc:Choice>
      <mc:Fallback>
        <control shapeId="1052" r:id="rId15" name="spnChartDay"/>
      </mc:Fallback>
    </mc:AlternateContent>
    <mc:AlternateContent xmlns:mc="http://schemas.openxmlformats.org/markup-compatibility/2006">
      <mc:Choice Requires="x14">
        <control shapeId="1026" r:id="rId17" name="btnShowRealtimeData">
          <controlPr defaultSize="0" autoLine="0" r:id="rId18">
            <anchor moveWithCells="1">
              <from>
                <xdr:col>0</xdr:col>
                <xdr:colOff>21771</xdr:colOff>
                <xdr:row>0</xdr:row>
                <xdr:rowOff>16329</xdr:rowOff>
              </from>
              <to>
                <xdr:col>0</xdr:col>
                <xdr:colOff>1475014</xdr:colOff>
                <xdr:row>1</xdr:row>
                <xdr:rowOff>179614</xdr:rowOff>
              </to>
            </anchor>
          </controlPr>
        </control>
      </mc:Choice>
      <mc:Fallback>
        <control shapeId="1026" r:id="rId17" name="btnShowRealtimeData"/>
      </mc:Fallback>
    </mc:AlternateContent>
    <mc:AlternateContent xmlns:mc="http://schemas.openxmlformats.org/markup-compatibility/2006">
      <mc:Choice Requires="x14">
        <control shapeId="1032" r:id="rId19" name="spnChartMonth">
          <controlPr defaultSize="0" autoLine="0" r:id="rId16">
            <anchor moveWithCells="1">
              <from>
                <xdr:col>5</xdr:col>
                <xdr:colOff>5443</xdr:colOff>
                <xdr:row>12</xdr:row>
                <xdr:rowOff>10886</xdr:rowOff>
              </from>
              <to>
                <xdr:col>5</xdr:col>
                <xdr:colOff>636814</xdr:colOff>
                <xdr:row>13</xdr:row>
                <xdr:rowOff>0</xdr:rowOff>
              </to>
            </anchor>
          </controlPr>
        </control>
      </mc:Choice>
      <mc:Fallback>
        <control shapeId="1032" r:id="rId19" name="spnChartMonth"/>
      </mc:Fallback>
    </mc:AlternateContent>
    <mc:AlternateContent xmlns:mc="http://schemas.openxmlformats.org/markup-compatibility/2006">
      <mc:Choice Requires="x14">
        <control shapeId="1035" r:id="rId20" name="spnChartYear">
          <controlPr defaultSize="0" autoLine="0" r:id="rId16">
            <anchor moveWithCells="1">
              <from>
                <xdr:col>5</xdr:col>
                <xdr:colOff>5443</xdr:colOff>
                <xdr:row>10</xdr:row>
                <xdr:rowOff>16329</xdr:rowOff>
              </from>
              <to>
                <xdr:col>5</xdr:col>
                <xdr:colOff>636814</xdr:colOff>
                <xdr:row>11</xdr:row>
                <xdr:rowOff>5443</xdr:rowOff>
              </to>
            </anchor>
          </controlPr>
        </control>
      </mc:Choice>
      <mc:Fallback>
        <control shapeId="1035" r:id="rId20" name="spnChartYear"/>
      </mc:Fallback>
    </mc:AlternateContent>
    <mc:AlternateContent xmlns:mc="http://schemas.openxmlformats.org/markup-compatibility/2006">
      <mc:Choice Requires="x14">
        <control shapeId="1036" r:id="rId21" name="spnBillingTime">
          <controlPr defaultSize="0" autoLine="0" r:id="rId16">
            <anchor moveWithCells="1">
              <from>
                <xdr:col>5</xdr:col>
                <xdr:colOff>5443</xdr:colOff>
                <xdr:row>8</xdr:row>
                <xdr:rowOff>16329</xdr:rowOff>
              </from>
              <to>
                <xdr:col>5</xdr:col>
                <xdr:colOff>636814</xdr:colOff>
                <xdr:row>9</xdr:row>
                <xdr:rowOff>5443</xdr:rowOff>
              </to>
            </anchor>
          </controlPr>
        </control>
      </mc:Choice>
      <mc:Fallback>
        <control shapeId="1036" r:id="rId21" name="spnBillingTime"/>
      </mc:Fallback>
    </mc:AlternateContent>
    <mc:AlternateContent xmlns:mc="http://schemas.openxmlformats.org/markup-compatibility/2006">
      <mc:Choice Requires="x14">
        <control shapeId="1037" r:id="rId22" name="spnBillingDay">
          <controlPr defaultSize="0" autoLine="0" r:id="rId16">
            <anchor moveWithCells="1">
              <from>
                <xdr:col>5</xdr:col>
                <xdr:colOff>10886</xdr:colOff>
                <xdr:row>7</xdr:row>
                <xdr:rowOff>5443</xdr:rowOff>
              </from>
              <to>
                <xdr:col>5</xdr:col>
                <xdr:colOff>642257</xdr:colOff>
                <xdr:row>7</xdr:row>
                <xdr:rowOff>179614</xdr:rowOff>
              </to>
            </anchor>
          </controlPr>
        </control>
      </mc:Choice>
      <mc:Fallback>
        <control shapeId="1037" r:id="rId22" name="spnBillingDay"/>
      </mc:Fallback>
    </mc:AlternateContent>
    <mc:AlternateContent xmlns:mc="http://schemas.openxmlformats.org/markup-compatibility/2006">
      <mc:Choice Requires="x14">
        <control shapeId="1038" r:id="rId23" name="btnReportYear">
          <controlPr defaultSize="0" autoLine="0" r:id="rId24">
            <anchor moveWithCells="1">
              <from>
                <xdr:col>6</xdr:col>
                <xdr:colOff>21771</xdr:colOff>
                <xdr:row>9</xdr:row>
                <xdr:rowOff>108857</xdr:rowOff>
              </from>
              <to>
                <xdr:col>6</xdr:col>
                <xdr:colOff>870857</xdr:colOff>
                <xdr:row>11</xdr:row>
                <xdr:rowOff>87086</xdr:rowOff>
              </to>
            </anchor>
          </controlPr>
        </control>
      </mc:Choice>
      <mc:Fallback>
        <control shapeId="1038" r:id="rId23" name="btnReportYear"/>
      </mc:Fallback>
    </mc:AlternateContent>
    <mc:AlternateContent xmlns:mc="http://schemas.openxmlformats.org/markup-compatibility/2006">
      <mc:Choice Requires="x14">
        <control shapeId="1039" r:id="rId25" name="btnReportMonth">
          <controlPr defaultSize="0" autoLine="0" r:id="rId26">
            <anchor moveWithCells="1">
              <from>
                <xdr:col>6</xdr:col>
                <xdr:colOff>21771</xdr:colOff>
                <xdr:row>11</xdr:row>
                <xdr:rowOff>97971</xdr:rowOff>
              </from>
              <to>
                <xdr:col>6</xdr:col>
                <xdr:colOff>870857</xdr:colOff>
                <xdr:row>13</xdr:row>
                <xdr:rowOff>76200</xdr:rowOff>
              </to>
            </anchor>
          </controlPr>
        </control>
      </mc:Choice>
      <mc:Fallback>
        <control shapeId="1039" r:id="rId25" name="btnReportMonth"/>
      </mc:Fallback>
    </mc:AlternateContent>
    <mc:AlternateContent xmlns:mc="http://schemas.openxmlformats.org/markup-compatibility/2006">
      <mc:Choice Requires="x14">
        <control shapeId="1042" r:id="rId27" name="chkUseBillingCycle">
          <controlPr defaultSize="0" autoLine="0" r:id="rId28">
            <anchor moveWithCells="1">
              <from>
                <xdr:col>3</xdr:col>
                <xdr:colOff>54429</xdr:colOff>
                <xdr:row>0</xdr:row>
                <xdr:rowOff>59871</xdr:rowOff>
              </from>
              <to>
                <xdr:col>4</xdr:col>
                <xdr:colOff>745671</xdr:colOff>
                <xdr:row>1</xdr:row>
                <xdr:rowOff>157843</xdr:rowOff>
              </to>
            </anchor>
          </controlPr>
        </control>
      </mc:Choice>
      <mc:Fallback>
        <control shapeId="1042" r:id="rId27" name="chkUseBillingCycle"/>
      </mc:Fallback>
    </mc:AlternateContent>
    <mc:AlternateContent xmlns:mc="http://schemas.openxmlformats.org/markup-compatibility/2006">
      <mc:Choice Requires="x14">
        <control shapeId="1044" r:id="rId29" name="chkBillingCycleIsUserDefined">
          <controlPr defaultSize="0" autoLine="0" r:id="rId30">
            <anchor moveWithCells="1">
              <from>
                <xdr:col>4</xdr:col>
                <xdr:colOff>990600</xdr:colOff>
                <xdr:row>0</xdr:row>
                <xdr:rowOff>54429</xdr:rowOff>
              </from>
              <to>
                <xdr:col>7</xdr:col>
                <xdr:colOff>97971</xdr:colOff>
                <xdr:row>1</xdr:row>
                <xdr:rowOff>152400</xdr:rowOff>
              </to>
            </anchor>
          </controlPr>
        </control>
      </mc:Choice>
      <mc:Fallback>
        <control shapeId="1044" r:id="rId29" name="chkBillingCycleIsUserDefined"/>
      </mc:Fallback>
    </mc:AlternateContent>
    <mc:AlternateContent xmlns:mc="http://schemas.openxmlformats.org/markup-compatibility/2006">
      <mc:Choice Requires="x14">
        <control shapeId="1055" r:id="rId31" name="btnClearPagesMonth">
          <controlPr defaultSize="0" autoLine="0" r:id="rId32">
            <anchor moveWithCells="1">
              <from>
                <xdr:col>6</xdr:col>
                <xdr:colOff>903514</xdr:colOff>
                <xdr:row>11</xdr:row>
                <xdr:rowOff>97971</xdr:rowOff>
              </from>
              <to>
                <xdr:col>6</xdr:col>
                <xdr:colOff>1736271</xdr:colOff>
                <xdr:row>13</xdr:row>
                <xdr:rowOff>76200</xdr:rowOff>
              </to>
            </anchor>
          </controlPr>
        </control>
      </mc:Choice>
      <mc:Fallback>
        <control shapeId="1055" r:id="rId31" name="btnClearPagesMonth"/>
      </mc:Fallback>
    </mc:AlternateContent>
    <mc:AlternateContent xmlns:mc="http://schemas.openxmlformats.org/markup-compatibility/2006">
      <mc:Choice Requires="x14">
        <control shapeId="1056" r:id="rId33" name="btnClearPagesDay">
          <controlPr defaultSize="0" autoLine="0" r:id="rId34">
            <anchor moveWithCells="1">
              <from>
                <xdr:col>6</xdr:col>
                <xdr:colOff>903514</xdr:colOff>
                <xdr:row>13</xdr:row>
                <xdr:rowOff>92529</xdr:rowOff>
              </from>
              <to>
                <xdr:col>6</xdr:col>
                <xdr:colOff>1736271</xdr:colOff>
                <xdr:row>15</xdr:row>
                <xdr:rowOff>70757</xdr:rowOff>
              </to>
            </anchor>
          </controlPr>
        </control>
      </mc:Choice>
      <mc:Fallback>
        <control shapeId="1056" r:id="rId33" name="btnClearPagesDay"/>
      </mc:Fallback>
    </mc:AlternateContent>
    <mc:AlternateContent xmlns:mc="http://schemas.openxmlformats.org/markup-compatibility/2006">
      <mc:Choice Requires="x14">
        <control shapeId="1058" r:id="rId35" name="btnNowChartMonth">
          <controlPr defaultSize="0" autoLine="0" r:id="rId36">
            <anchor moveWithCells="1">
              <from>
                <xdr:col>3</xdr:col>
                <xdr:colOff>745671</xdr:colOff>
                <xdr:row>11</xdr:row>
                <xdr:rowOff>103414</xdr:rowOff>
              </from>
              <to>
                <xdr:col>3</xdr:col>
                <xdr:colOff>1197429</xdr:colOff>
                <xdr:row>13</xdr:row>
                <xdr:rowOff>81643</xdr:rowOff>
              </to>
            </anchor>
          </controlPr>
        </control>
      </mc:Choice>
      <mc:Fallback>
        <control shapeId="1058" r:id="rId35" name="btnNowChartMonth"/>
      </mc:Fallback>
    </mc:AlternateContent>
    <mc:AlternateContent xmlns:mc="http://schemas.openxmlformats.org/markup-compatibility/2006">
      <mc:Choice Requires="x14">
        <control shapeId="1059" r:id="rId37" name="btnNowChartYear">
          <controlPr defaultSize="0" autoLine="0" r:id="rId38">
            <anchor moveWithCells="1">
              <from>
                <xdr:col>3</xdr:col>
                <xdr:colOff>745671</xdr:colOff>
                <xdr:row>9</xdr:row>
                <xdr:rowOff>103414</xdr:rowOff>
              </from>
              <to>
                <xdr:col>3</xdr:col>
                <xdr:colOff>1197429</xdr:colOff>
                <xdr:row>11</xdr:row>
                <xdr:rowOff>81643</xdr:rowOff>
              </to>
            </anchor>
          </controlPr>
        </control>
      </mc:Choice>
      <mc:Fallback>
        <control shapeId="1059" r:id="rId37" name="btnNowChartYear"/>
      </mc:Fallback>
    </mc:AlternateContent>
    <mc:AlternateContent xmlns:mc="http://schemas.openxmlformats.org/markup-compatibility/2006">
      <mc:Choice Requires="x14">
        <control shapeId="1060" r:id="rId39" name="btnClearRealtimeData">
          <controlPr defaultSize="0" autoLine="0" r:id="rId40">
            <anchor moveWithCells="1">
              <from>
                <xdr:col>0</xdr:col>
                <xdr:colOff>1491343</xdr:colOff>
                <xdr:row>0</xdr:row>
                <xdr:rowOff>16329</xdr:rowOff>
              </from>
              <to>
                <xdr:col>0</xdr:col>
                <xdr:colOff>1964871</xdr:colOff>
                <xdr:row>1</xdr:row>
                <xdr:rowOff>179614</xdr:rowOff>
              </to>
            </anchor>
          </controlPr>
        </control>
      </mc:Choice>
      <mc:Fallback>
        <control shapeId="1060" r:id="rId39" name="btnClearRealtimeData"/>
      </mc:Fallback>
    </mc:AlternateContent>
    <mc:AlternateContent xmlns:mc="http://schemas.openxmlformats.org/markup-compatibility/2006">
      <mc:Choice Requires="x14">
        <control shapeId="1066" r:id="rId41" name="btnBackupArchivedData">
          <controlPr defaultSize="0" autoLine="0" r:id="rId42">
            <anchor moveWithCells="1">
              <from>
                <xdr:col>1</xdr:col>
                <xdr:colOff>10886</xdr:colOff>
                <xdr:row>0</xdr:row>
                <xdr:rowOff>16329</xdr:rowOff>
              </from>
              <to>
                <xdr:col>1</xdr:col>
                <xdr:colOff>1480457</xdr:colOff>
                <xdr:row>1</xdr:row>
                <xdr:rowOff>179614</xdr:rowOff>
              </to>
            </anchor>
          </controlPr>
        </control>
      </mc:Choice>
      <mc:Fallback>
        <control shapeId="1066" r:id="rId41" name="btnBackupArchivedData"/>
      </mc:Fallback>
    </mc:AlternateContent>
    <mc:AlternateContent xmlns:mc="http://schemas.openxmlformats.org/markup-compatibility/2006">
      <mc:Choice Requires="x14">
        <control shapeId="1069" r:id="rId43" name="chkShowUnitsInColumnHeading">
          <controlPr defaultSize="0" autoLine="0" r:id="rId44">
            <anchor moveWithCells="1">
              <from>
                <xdr:col>7</xdr:col>
                <xdr:colOff>0</xdr:colOff>
                <xdr:row>13</xdr:row>
                <xdr:rowOff>114300</xdr:rowOff>
              </from>
              <to>
                <xdr:col>8</xdr:col>
                <xdr:colOff>272143</xdr:colOff>
                <xdr:row>15</xdr:row>
                <xdr:rowOff>27214</xdr:rowOff>
              </to>
            </anchor>
          </controlPr>
        </control>
      </mc:Choice>
      <mc:Fallback>
        <control shapeId="1069" r:id="rId43" name="chkShowUnitsInColumnHead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2CC36-FAEF-4941-918F-66A3BCC0358B}">
  <sheetPr codeName="Sheet5"/>
  <dimension ref="A1:F14"/>
  <sheetViews>
    <sheetView workbookViewId="0">
      <selection activeCell="E8" sqref="E8"/>
    </sheetView>
  </sheetViews>
  <sheetFormatPr defaultRowHeight="14.6" x14ac:dyDescent="0.4"/>
  <cols>
    <col min="1" max="1" width="6.53515625" bestFit="1" customWidth="1"/>
    <col min="2" max="2" width="12" bestFit="1" customWidth="1"/>
    <col min="4" max="5" width="20.23046875" style="23" bestFit="1" customWidth="1"/>
    <col min="6" max="6" width="4.765625" style="24" bestFit="1" customWidth="1"/>
  </cols>
  <sheetData>
    <row r="1" spans="1:6" s="2" customFormat="1" x14ac:dyDescent="0.4">
      <c r="A1" s="2" t="s">
        <v>37</v>
      </c>
      <c r="B1" s="2" t="s">
        <v>43</v>
      </c>
      <c r="D1" s="21" t="s">
        <v>44</v>
      </c>
      <c r="E1" s="21" t="s">
        <v>45</v>
      </c>
      <c r="F1" s="2" t="s">
        <v>46</v>
      </c>
    </row>
    <row r="2" spans="1:6" x14ac:dyDescent="0.4">
      <c r="A2" s="27" t="s">
        <v>49</v>
      </c>
      <c r="B2" s="11">
        <v>310.01856527777863</v>
      </c>
      <c r="D2" s="23">
        <v>44901.5</v>
      </c>
      <c r="E2" s="23">
        <v>44932.5</v>
      </c>
      <c r="F2" s="26">
        <f t="shared" ref="F2:F13" si="0">$E2-$D2</f>
        <v>31</v>
      </c>
    </row>
    <row r="3" spans="1:6" x14ac:dyDescent="0.4">
      <c r="A3" s="27" t="s">
        <v>50</v>
      </c>
      <c r="B3" s="11">
        <v>420.65997500000066</v>
      </c>
      <c r="D3" s="23">
        <v>44932.5</v>
      </c>
      <c r="E3" s="23">
        <v>44963.5</v>
      </c>
      <c r="F3" s="26">
        <f t="shared" si="0"/>
        <v>31</v>
      </c>
    </row>
    <row r="4" spans="1:6" x14ac:dyDescent="0.4">
      <c r="A4" s="27" t="s">
        <v>51</v>
      </c>
      <c r="B4" s="11">
        <v>648.60405444444416</v>
      </c>
      <c r="D4" s="23">
        <v>44963.5</v>
      </c>
      <c r="E4" s="23">
        <v>44991.5</v>
      </c>
      <c r="F4" s="26">
        <f t="shared" si="0"/>
        <v>28</v>
      </c>
    </row>
    <row r="5" spans="1:6" x14ac:dyDescent="0.4">
      <c r="A5" s="27" t="s">
        <v>52</v>
      </c>
      <c r="B5" s="11">
        <v>807.09281805555611</v>
      </c>
      <c r="D5" s="23">
        <v>44991.5</v>
      </c>
      <c r="E5" s="23">
        <v>45022.5</v>
      </c>
      <c r="F5" s="26">
        <f t="shared" si="0"/>
        <v>31</v>
      </c>
    </row>
    <row r="6" spans="1:6" x14ac:dyDescent="0.4">
      <c r="A6" s="27" t="s">
        <v>53</v>
      </c>
      <c r="B6" s="11">
        <v>931.38693916666671</v>
      </c>
      <c r="D6" s="23">
        <v>45022.5</v>
      </c>
      <c r="E6" s="23">
        <v>45052.5</v>
      </c>
      <c r="F6" s="26">
        <f t="shared" si="0"/>
        <v>30</v>
      </c>
    </row>
    <row r="7" spans="1:6" x14ac:dyDescent="0.4">
      <c r="A7" s="27" t="s">
        <v>54</v>
      </c>
      <c r="B7" s="11">
        <v>349.80265083333308</v>
      </c>
      <c r="D7" s="23">
        <v>45052.5</v>
      </c>
      <c r="E7" s="23">
        <v>45083.5</v>
      </c>
      <c r="F7" s="26">
        <f t="shared" si="0"/>
        <v>31</v>
      </c>
    </row>
    <row r="8" spans="1:6" x14ac:dyDescent="0.4">
      <c r="A8" s="27" t="s">
        <v>55</v>
      </c>
      <c r="B8" s="11">
        <v>0</v>
      </c>
      <c r="D8" s="23">
        <v>45083.5</v>
      </c>
      <c r="E8" s="23">
        <v>45113.5</v>
      </c>
      <c r="F8" s="26">
        <f t="shared" si="0"/>
        <v>30</v>
      </c>
    </row>
    <row r="9" spans="1:6" x14ac:dyDescent="0.4">
      <c r="A9" s="27" t="s">
        <v>56</v>
      </c>
      <c r="B9" s="11">
        <v>0</v>
      </c>
      <c r="D9" s="23">
        <v>45113.5</v>
      </c>
      <c r="E9" s="23">
        <v>45144.5</v>
      </c>
      <c r="F9" s="26">
        <f t="shared" si="0"/>
        <v>31</v>
      </c>
    </row>
    <row r="10" spans="1:6" x14ac:dyDescent="0.4">
      <c r="A10" s="27" t="s">
        <v>57</v>
      </c>
      <c r="B10" s="11">
        <v>0</v>
      </c>
      <c r="D10" s="23">
        <v>45144.5</v>
      </c>
      <c r="E10" s="23">
        <v>45175.5</v>
      </c>
      <c r="F10" s="26">
        <f t="shared" si="0"/>
        <v>31</v>
      </c>
    </row>
    <row r="11" spans="1:6" x14ac:dyDescent="0.4">
      <c r="A11" s="27" t="s">
        <v>58</v>
      </c>
      <c r="B11" s="11">
        <v>0</v>
      </c>
      <c r="D11" s="23">
        <v>45175.5</v>
      </c>
      <c r="E11" s="23">
        <v>45205.5</v>
      </c>
      <c r="F11" s="26">
        <f t="shared" si="0"/>
        <v>30</v>
      </c>
    </row>
    <row r="12" spans="1:6" x14ac:dyDescent="0.4">
      <c r="A12" s="27" t="s">
        <v>59</v>
      </c>
      <c r="B12" s="11">
        <v>0</v>
      </c>
      <c r="D12" s="23">
        <v>45205.5</v>
      </c>
      <c r="E12" s="23">
        <v>45236.5</v>
      </c>
      <c r="F12" s="26">
        <f t="shared" si="0"/>
        <v>31</v>
      </c>
    </row>
    <row r="13" spans="1:6" x14ac:dyDescent="0.4">
      <c r="A13" s="27" t="s">
        <v>60</v>
      </c>
      <c r="B13" s="11">
        <v>0</v>
      </c>
      <c r="D13" s="23">
        <v>45236.5</v>
      </c>
      <c r="E13" s="23">
        <v>45266.5</v>
      </c>
      <c r="F13" s="26">
        <f t="shared" si="0"/>
        <v>30</v>
      </c>
    </row>
    <row r="14" spans="1:6" s="9" customFormat="1" x14ac:dyDescent="0.4">
      <c r="A14" s="2" t="s">
        <v>42</v>
      </c>
      <c r="B14" s="12">
        <v>3467.5650027777797</v>
      </c>
      <c r="D14" s="22"/>
      <c r="E14" s="22"/>
      <c r="F14" s="25">
        <f>SUM(F2:F13)</f>
        <v>365</v>
      </c>
    </row>
  </sheetData>
  <dataConsolidate link="1"/>
  <pageMargins left="0.7" right="0.7" top="0.75" bottom="0.75" header="0.3" footer="0.3"/>
  <pageSetup orientation="portrait" r:id="rId1"/>
  <customProperties>
    <customPr name="SheetIdentifier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DBD1F-2C70-4648-8F99-2659E73E4A35}">
  <sheetPr codeName="Sheet6"/>
  <dimension ref="A1:I36"/>
  <sheetViews>
    <sheetView workbookViewId="0">
      <selection activeCell="A16" sqref="A16"/>
    </sheetView>
  </sheetViews>
  <sheetFormatPr defaultRowHeight="14.6" x14ac:dyDescent="0.4"/>
  <cols>
    <col min="1" max="1" width="6.53515625" bestFit="1" customWidth="1"/>
    <col min="2" max="2" width="12" bestFit="1" customWidth="1"/>
    <col min="4" max="5" width="20.3828125" style="20" bestFit="1" customWidth="1"/>
    <col min="6" max="6" width="4.765625" style="24" bestFit="1" customWidth="1"/>
    <col min="9" max="9" width="9.23046875" style="14"/>
  </cols>
  <sheetData>
    <row r="1" spans="1:9" s="2" customFormat="1" x14ac:dyDescent="0.4">
      <c r="A1" s="2" t="s">
        <v>37</v>
      </c>
      <c r="B1" s="2" t="s">
        <v>43</v>
      </c>
      <c r="D1" s="21" t="s">
        <v>44</v>
      </c>
      <c r="E1" s="21" t="s">
        <v>45</v>
      </c>
      <c r="F1" s="2" t="s">
        <v>46</v>
      </c>
      <c r="I1" s="18"/>
    </row>
    <row r="2" spans="1:9" x14ac:dyDescent="0.4">
      <c r="A2" s="27" t="s">
        <v>49</v>
      </c>
      <c r="B2" s="11">
        <v>3.358059166666667</v>
      </c>
      <c r="D2" s="23">
        <v>44535.041666666664</v>
      </c>
      <c r="E2" s="23">
        <v>44566.041666666664</v>
      </c>
      <c r="F2" s="26">
        <f t="shared" ref="F2:F13" si="0">$E2-$D2</f>
        <v>31</v>
      </c>
      <c r="H2" s="13"/>
      <c r="I2" s="15"/>
    </row>
    <row r="3" spans="1:9" x14ac:dyDescent="0.4">
      <c r="A3" s="27" t="s">
        <v>50</v>
      </c>
      <c r="B3" s="11">
        <v>562.9879241666672</v>
      </c>
      <c r="D3" s="23">
        <v>44567.041666666664</v>
      </c>
      <c r="E3" s="23">
        <v>44598.041666666664</v>
      </c>
      <c r="F3" s="26">
        <f t="shared" si="0"/>
        <v>31</v>
      </c>
      <c r="H3" s="13"/>
      <c r="I3" s="15"/>
    </row>
    <row r="4" spans="1:9" x14ac:dyDescent="0.4">
      <c r="A4" s="27" t="s">
        <v>51</v>
      </c>
      <c r="B4" s="11">
        <v>724.35346527777904</v>
      </c>
      <c r="D4" s="23">
        <v>44598.041666666664</v>
      </c>
      <c r="E4" s="23">
        <v>44627.041666666664</v>
      </c>
      <c r="F4" s="26">
        <f t="shared" si="0"/>
        <v>29</v>
      </c>
      <c r="H4" s="13"/>
      <c r="I4" s="15"/>
    </row>
    <row r="5" spans="1:9" x14ac:dyDescent="0.4">
      <c r="A5" s="27" t="s">
        <v>52</v>
      </c>
      <c r="B5" s="11">
        <v>780.38701500000082</v>
      </c>
      <c r="D5" s="23">
        <v>44627.041666666664</v>
      </c>
      <c r="E5" s="23">
        <v>44657.041666666664</v>
      </c>
      <c r="F5" s="26">
        <f t="shared" si="0"/>
        <v>30</v>
      </c>
      <c r="H5" s="13"/>
      <c r="I5" s="15"/>
    </row>
    <row r="6" spans="1:9" x14ac:dyDescent="0.4">
      <c r="A6" s="27" t="s">
        <v>53</v>
      </c>
      <c r="B6" s="11">
        <v>1162.7096450000008</v>
      </c>
      <c r="D6" s="23">
        <v>44657.041666666664</v>
      </c>
      <c r="E6" s="23">
        <v>44693.041666666664</v>
      </c>
      <c r="F6" s="26">
        <f t="shared" si="0"/>
        <v>36</v>
      </c>
      <c r="H6" s="13"/>
      <c r="I6" s="15"/>
    </row>
    <row r="7" spans="1:9" x14ac:dyDescent="0.4">
      <c r="A7" s="27" t="s">
        <v>54</v>
      </c>
      <c r="B7" s="11">
        <v>969.86801583333408</v>
      </c>
      <c r="D7" s="23">
        <v>44693.041666666664</v>
      </c>
      <c r="E7" s="23">
        <v>44718.041666666664</v>
      </c>
      <c r="F7" s="26">
        <f t="shared" si="0"/>
        <v>25</v>
      </c>
      <c r="H7" s="13"/>
      <c r="I7" s="15"/>
    </row>
    <row r="8" spans="1:9" x14ac:dyDescent="0.4">
      <c r="A8" s="27" t="s">
        <v>55</v>
      </c>
      <c r="B8" s="11">
        <v>1183.2693900000006</v>
      </c>
      <c r="D8" s="23">
        <v>44718.041666666664</v>
      </c>
      <c r="E8" s="23">
        <v>44748.041666666664</v>
      </c>
      <c r="F8" s="26">
        <f t="shared" si="0"/>
        <v>30</v>
      </c>
      <c r="H8" s="13"/>
      <c r="I8" s="15"/>
    </row>
    <row r="9" spans="1:9" x14ac:dyDescent="0.4">
      <c r="A9" s="27" t="s">
        <v>56</v>
      </c>
      <c r="B9" s="11">
        <v>1351.3367347222204</v>
      </c>
      <c r="D9" s="23">
        <v>44748.041666666664</v>
      </c>
      <c r="E9" s="23">
        <v>44779.041666666664</v>
      </c>
      <c r="F9" s="26">
        <f t="shared" si="0"/>
        <v>31</v>
      </c>
      <c r="H9" s="13"/>
      <c r="I9" s="15"/>
    </row>
    <row r="10" spans="1:9" x14ac:dyDescent="0.4">
      <c r="A10" s="27" t="s">
        <v>57</v>
      </c>
      <c r="B10" s="11">
        <v>1055.2919694444408</v>
      </c>
      <c r="D10" s="23">
        <v>44779.041666666664</v>
      </c>
      <c r="E10" s="23">
        <v>44810.041666666664</v>
      </c>
      <c r="F10" s="26">
        <f t="shared" si="0"/>
        <v>31</v>
      </c>
      <c r="H10" s="13"/>
      <c r="I10" s="15"/>
    </row>
    <row r="11" spans="1:9" x14ac:dyDescent="0.4">
      <c r="A11" s="27" t="s">
        <v>58</v>
      </c>
      <c r="B11" s="11">
        <v>833.33655999999803</v>
      </c>
      <c r="D11" s="23">
        <v>44810.041666666664</v>
      </c>
      <c r="E11" s="23">
        <v>44840.041666666664</v>
      </c>
      <c r="F11" s="26">
        <f t="shared" si="0"/>
        <v>30</v>
      </c>
      <c r="H11" s="13"/>
      <c r="I11" s="15"/>
    </row>
    <row r="12" spans="1:9" x14ac:dyDescent="0.4">
      <c r="A12" s="27" t="s">
        <v>59</v>
      </c>
      <c r="B12" s="11">
        <v>833.54011277777784</v>
      </c>
      <c r="D12" s="23">
        <v>44840.041666666664</v>
      </c>
      <c r="E12" s="23">
        <v>44872.041666666664</v>
      </c>
      <c r="F12" s="26">
        <f t="shared" si="0"/>
        <v>32</v>
      </c>
      <c r="H12" s="13"/>
      <c r="I12" s="15"/>
    </row>
    <row r="13" spans="1:9" x14ac:dyDescent="0.4">
      <c r="A13" s="27" t="s">
        <v>60</v>
      </c>
      <c r="B13" s="11">
        <v>501.11186250000009</v>
      </c>
      <c r="D13" s="23">
        <v>44872.041666666664</v>
      </c>
      <c r="E13" s="23">
        <v>44901.041666666664</v>
      </c>
      <c r="F13" s="26">
        <f t="shared" si="0"/>
        <v>29</v>
      </c>
      <c r="H13" s="13"/>
      <c r="I13" s="15"/>
    </row>
    <row r="14" spans="1:9" s="9" customFormat="1" x14ac:dyDescent="0.4">
      <c r="A14" s="2" t="s">
        <v>42</v>
      </c>
      <c r="B14" s="12">
        <v>9961.5507538888869</v>
      </c>
      <c r="D14" s="19"/>
      <c r="E14" s="19"/>
      <c r="F14" s="25">
        <f>SUM(F2:F13)</f>
        <v>365</v>
      </c>
      <c r="H14" s="16"/>
      <c r="I14" s="17"/>
    </row>
    <row r="15" spans="1:9" x14ac:dyDescent="0.4">
      <c r="H15" s="13"/>
      <c r="I15" s="15"/>
    </row>
    <row r="16" spans="1:9" x14ac:dyDescent="0.4">
      <c r="H16" s="13"/>
      <c r="I16" s="15"/>
    </row>
    <row r="17" spans="8:9" x14ac:dyDescent="0.4">
      <c r="H17" s="13"/>
      <c r="I17" s="15"/>
    </row>
    <row r="18" spans="8:9" x14ac:dyDescent="0.4">
      <c r="H18" s="13"/>
      <c r="I18" s="15"/>
    </row>
    <row r="19" spans="8:9" x14ac:dyDescent="0.4">
      <c r="H19" s="13"/>
      <c r="I19" s="15"/>
    </row>
    <row r="20" spans="8:9" x14ac:dyDescent="0.4">
      <c r="H20" s="13"/>
      <c r="I20" s="15"/>
    </row>
    <row r="21" spans="8:9" x14ac:dyDescent="0.4">
      <c r="H21" s="13"/>
      <c r="I21" s="15"/>
    </row>
    <row r="22" spans="8:9" x14ac:dyDescent="0.4">
      <c r="H22" s="13"/>
      <c r="I22" s="15"/>
    </row>
    <row r="23" spans="8:9" x14ac:dyDescent="0.4">
      <c r="H23" s="13"/>
      <c r="I23" s="15"/>
    </row>
    <row r="24" spans="8:9" x14ac:dyDescent="0.4">
      <c r="H24" s="13"/>
      <c r="I24" s="15"/>
    </row>
    <row r="25" spans="8:9" x14ac:dyDescent="0.4">
      <c r="H25" s="13"/>
      <c r="I25" s="15"/>
    </row>
    <row r="26" spans="8:9" x14ac:dyDescent="0.4">
      <c r="H26" s="13"/>
      <c r="I26" s="15"/>
    </row>
    <row r="27" spans="8:9" x14ac:dyDescent="0.4">
      <c r="H27" s="13"/>
      <c r="I27" s="15"/>
    </row>
    <row r="28" spans="8:9" x14ac:dyDescent="0.4">
      <c r="H28" s="13"/>
      <c r="I28" s="15"/>
    </row>
    <row r="29" spans="8:9" x14ac:dyDescent="0.4">
      <c r="H29" s="13"/>
      <c r="I29" s="15"/>
    </row>
    <row r="30" spans="8:9" x14ac:dyDescent="0.4">
      <c r="H30" s="13"/>
      <c r="I30" s="15"/>
    </row>
    <row r="31" spans="8:9" x14ac:dyDescent="0.4">
      <c r="H31" s="13"/>
      <c r="I31" s="15"/>
    </row>
    <row r="32" spans="8:9" x14ac:dyDescent="0.4">
      <c r="H32" s="13"/>
      <c r="I32" s="15"/>
    </row>
    <row r="33" spans="8:8" x14ac:dyDescent="0.4">
      <c r="H33" s="13"/>
    </row>
    <row r="34" spans="8:8" x14ac:dyDescent="0.4">
      <c r="H34" s="13"/>
    </row>
    <row r="35" spans="8:8" x14ac:dyDescent="0.4">
      <c r="H35" s="13"/>
    </row>
    <row r="36" spans="8:8" x14ac:dyDescent="0.4">
      <c r="H36" s="13"/>
    </row>
  </sheetData>
  <pageMargins left="0.7" right="0.7" top="0.75" bottom="0.75" header="0.3" footer="0.3"/>
  <customProperties>
    <customPr name="SheetIdentifier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5ABD9-D7E5-4C02-A9DC-BAA7FE744A10}">
  <sheetPr codeName="Sheet2"/>
  <dimension ref="A1:H110"/>
  <sheetViews>
    <sheetView workbookViewId="0"/>
  </sheetViews>
  <sheetFormatPr defaultRowHeight="14.6" x14ac:dyDescent="0.4"/>
  <cols>
    <col min="1" max="1" width="5.3828125" bestFit="1" customWidth="1"/>
    <col min="2" max="2" width="18.921875" bestFit="1" customWidth="1"/>
    <col min="3" max="3" width="29.07421875" bestFit="1" customWidth="1"/>
    <col min="4" max="4" width="14.15234375" bestFit="1" customWidth="1"/>
    <col min="5" max="8" width="18.3828125" bestFit="1" customWidth="1"/>
  </cols>
  <sheetData>
    <row r="1" spans="1:8" s="9" customFormat="1" x14ac:dyDescent="0.4">
      <c r="A1" s="2" t="s">
        <v>75</v>
      </c>
      <c r="B1" s="9" t="s">
        <v>77</v>
      </c>
      <c r="C1" s="9" t="s">
        <v>76</v>
      </c>
      <c r="D1" s="9" t="s">
        <v>101</v>
      </c>
      <c r="E1" s="9" t="s">
        <v>82</v>
      </c>
      <c r="F1" s="9" t="s">
        <v>83</v>
      </c>
      <c r="G1" s="9" t="s">
        <v>84</v>
      </c>
      <c r="H1" s="9" t="s">
        <v>85</v>
      </c>
    </row>
    <row r="2" spans="1:8" x14ac:dyDescent="0.4">
      <c r="A2" s="30">
        <v>44197.309027777781</v>
      </c>
    </row>
    <row r="3" spans="1:8" x14ac:dyDescent="0.4">
      <c r="A3" s="30">
        <v>44197.3125</v>
      </c>
    </row>
    <row r="4" spans="1:8" x14ac:dyDescent="0.4">
      <c r="A4" s="30">
        <v>44197.315972222219</v>
      </c>
    </row>
    <row r="5" spans="1:8" x14ac:dyDescent="0.4">
      <c r="A5" s="30">
        <v>44197.319444444445</v>
      </c>
    </row>
    <row r="6" spans="1:8" x14ac:dyDescent="0.4">
      <c r="A6" s="30">
        <v>44197.322916666664</v>
      </c>
    </row>
    <row r="7" spans="1:8" x14ac:dyDescent="0.4">
      <c r="A7" s="30">
        <v>44197.326388888891</v>
      </c>
    </row>
    <row r="8" spans="1:8" x14ac:dyDescent="0.4">
      <c r="A8" s="30">
        <v>44197.329861111109</v>
      </c>
    </row>
    <row r="9" spans="1:8" x14ac:dyDescent="0.4">
      <c r="A9" s="30">
        <v>44197.333333333336</v>
      </c>
    </row>
    <row r="10" spans="1:8" x14ac:dyDescent="0.4">
      <c r="A10" s="30">
        <v>44197.336805555555</v>
      </c>
    </row>
    <row r="11" spans="1:8" x14ac:dyDescent="0.4">
      <c r="A11" s="30">
        <v>44197.340277777781</v>
      </c>
    </row>
    <row r="12" spans="1:8" x14ac:dyDescent="0.4">
      <c r="A12" s="30">
        <v>44197.34375</v>
      </c>
    </row>
    <row r="13" spans="1:8" x14ac:dyDescent="0.4">
      <c r="A13" s="30">
        <v>44197.347222222219</v>
      </c>
    </row>
    <row r="14" spans="1:8" x14ac:dyDescent="0.4">
      <c r="A14" s="30">
        <v>44197.350694444445</v>
      </c>
    </row>
    <row r="15" spans="1:8" x14ac:dyDescent="0.4">
      <c r="A15" s="30">
        <v>44197.354166666664</v>
      </c>
    </row>
    <row r="16" spans="1:8" x14ac:dyDescent="0.4">
      <c r="A16" s="30">
        <v>44197.357638888891</v>
      </c>
    </row>
    <row r="17" spans="1:1" x14ac:dyDescent="0.4">
      <c r="A17" s="30">
        <v>44197.361111111109</v>
      </c>
    </row>
    <row r="18" spans="1:1" x14ac:dyDescent="0.4">
      <c r="A18" s="30">
        <v>44197.364583333336</v>
      </c>
    </row>
    <row r="19" spans="1:1" x14ac:dyDescent="0.4">
      <c r="A19" s="30">
        <v>44197.368055555555</v>
      </c>
    </row>
    <row r="20" spans="1:1" x14ac:dyDescent="0.4">
      <c r="A20" s="30">
        <v>44197.371527777781</v>
      </c>
    </row>
    <row r="21" spans="1:1" x14ac:dyDescent="0.4">
      <c r="A21" s="30">
        <v>44197.375</v>
      </c>
    </row>
    <row r="22" spans="1:1" x14ac:dyDescent="0.4">
      <c r="A22" s="30">
        <v>44197.378472222219</v>
      </c>
    </row>
    <row r="23" spans="1:1" x14ac:dyDescent="0.4">
      <c r="A23" s="30">
        <v>44197.381944444445</v>
      </c>
    </row>
    <row r="24" spans="1:1" x14ac:dyDescent="0.4">
      <c r="A24" s="30">
        <v>44197.385416666664</v>
      </c>
    </row>
    <row r="25" spans="1:1" x14ac:dyDescent="0.4">
      <c r="A25" s="30">
        <v>44197.388888888891</v>
      </c>
    </row>
    <row r="26" spans="1:1" x14ac:dyDescent="0.4">
      <c r="A26" s="30">
        <v>44197.392361111109</v>
      </c>
    </row>
    <row r="27" spans="1:1" x14ac:dyDescent="0.4">
      <c r="A27" s="30">
        <v>44197.395833333336</v>
      </c>
    </row>
    <row r="28" spans="1:1" x14ac:dyDescent="0.4">
      <c r="A28" s="30">
        <v>44197.399305555555</v>
      </c>
    </row>
    <row r="29" spans="1:1" x14ac:dyDescent="0.4">
      <c r="A29" s="30">
        <v>44197.402777777781</v>
      </c>
    </row>
    <row r="30" spans="1:1" x14ac:dyDescent="0.4">
      <c r="A30" s="30">
        <v>44197.40625</v>
      </c>
    </row>
    <row r="31" spans="1:1" x14ac:dyDescent="0.4">
      <c r="A31" s="30">
        <v>44197.409722222219</v>
      </c>
    </row>
    <row r="32" spans="1:1" x14ac:dyDescent="0.4">
      <c r="A32" s="30">
        <v>44197.413194444445</v>
      </c>
    </row>
    <row r="33" spans="1:1" x14ac:dyDescent="0.4">
      <c r="A33" s="30">
        <v>44197.416666666664</v>
      </c>
    </row>
    <row r="34" spans="1:1" x14ac:dyDescent="0.4">
      <c r="A34" s="30">
        <v>44197.420138888891</v>
      </c>
    </row>
    <row r="35" spans="1:1" x14ac:dyDescent="0.4">
      <c r="A35" s="30">
        <v>44197.423611111109</v>
      </c>
    </row>
    <row r="36" spans="1:1" x14ac:dyDescent="0.4">
      <c r="A36" s="30">
        <v>44197.427083333336</v>
      </c>
    </row>
    <row r="37" spans="1:1" x14ac:dyDescent="0.4">
      <c r="A37" s="30">
        <v>44197.430555555555</v>
      </c>
    </row>
    <row r="38" spans="1:1" x14ac:dyDescent="0.4">
      <c r="A38" s="30">
        <v>44197.434027777781</v>
      </c>
    </row>
    <row r="39" spans="1:1" x14ac:dyDescent="0.4">
      <c r="A39" s="30">
        <v>44197.4375</v>
      </c>
    </row>
    <row r="40" spans="1:1" x14ac:dyDescent="0.4">
      <c r="A40" s="30">
        <v>44197.440972222219</v>
      </c>
    </row>
    <row r="41" spans="1:1" x14ac:dyDescent="0.4">
      <c r="A41" s="30">
        <v>44197.444444444445</v>
      </c>
    </row>
    <row r="42" spans="1:1" x14ac:dyDescent="0.4">
      <c r="A42" s="30">
        <v>44197.447916666664</v>
      </c>
    </row>
    <row r="43" spans="1:1" x14ac:dyDescent="0.4">
      <c r="A43" s="30">
        <v>44197.451388888891</v>
      </c>
    </row>
    <row r="44" spans="1:1" x14ac:dyDescent="0.4">
      <c r="A44" s="30">
        <v>44197.454861111109</v>
      </c>
    </row>
    <row r="45" spans="1:1" x14ac:dyDescent="0.4">
      <c r="A45" s="30">
        <v>44197.458333333336</v>
      </c>
    </row>
    <row r="46" spans="1:1" x14ac:dyDescent="0.4">
      <c r="A46" s="30">
        <v>44197.461805555555</v>
      </c>
    </row>
    <row r="47" spans="1:1" x14ac:dyDescent="0.4">
      <c r="A47" s="30">
        <v>44197.465277777781</v>
      </c>
    </row>
    <row r="48" spans="1:1" x14ac:dyDescent="0.4">
      <c r="A48" s="30">
        <v>44197.46875</v>
      </c>
    </row>
    <row r="49" spans="1:1" x14ac:dyDescent="0.4">
      <c r="A49" s="30">
        <v>44197.472222222219</v>
      </c>
    </row>
    <row r="50" spans="1:1" x14ac:dyDescent="0.4">
      <c r="A50" s="30">
        <v>44197.475694444445</v>
      </c>
    </row>
    <row r="51" spans="1:1" x14ac:dyDescent="0.4">
      <c r="A51" s="30">
        <v>44197.479166666664</v>
      </c>
    </row>
    <row r="52" spans="1:1" x14ac:dyDescent="0.4">
      <c r="A52" s="30">
        <v>44197.482638888891</v>
      </c>
    </row>
    <row r="53" spans="1:1" x14ac:dyDescent="0.4">
      <c r="A53" s="30">
        <v>44197.486111111109</v>
      </c>
    </row>
    <row r="54" spans="1:1" x14ac:dyDescent="0.4">
      <c r="A54" s="30">
        <v>44197.489583333336</v>
      </c>
    </row>
    <row r="55" spans="1:1" x14ac:dyDescent="0.4">
      <c r="A55" s="30">
        <v>44197.493055555555</v>
      </c>
    </row>
    <row r="56" spans="1:1" x14ac:dyDescent="0.4">
      <c r="A56" s="30">
        <v>44197.496527777781</v>
      </c>
    </row>
    <row r="57" spans="1:1" x14ac:dyDescent="0.4">
      <c r="A57" s="30">
        <v>44197.5</v>
      </c>
    </row>
    <row r="58" spans="1:1" x14ac:dyDescent="0.4">
      <c r="A58" s="30">
        <v>44197.503472222219</v>
      </c>
    </row>
    <row r="59" spans="1:1" x14ac:dyDescent="0.4">
      <c r="A59" s="30">
        <v>44197.506944444445</v>
      </c>
    </row>
    <row r="60" spans="1:1" x14ac:dyDescent="0.4">
      <c r="A60" s="30">
        <v>44197.510416666664</v>
      </c>
    </row>
    <row r="61" spans="1:1" x14ac:dyDescent="0.4">
      <c r="A61" s="30">
        <v>44197.513888888891</v>
      </c>
    </row>
    <row r="62" spans="1:1" x14ac:dyDescent="0.4">
      <c r="A62" s="30">
        <v>44197.517361111109</v>
      </c>
    </row>
    <row r="63" spans="1:1" x14ac:dyDescent="0.4">
      <c r="A63" s="30">
        <v>44197.520833333336</v>
      </c>
    </row>
    <row r="64" spans="1:1" x14ac:dyDescent="0.4">
      <c r="A64" s="30">
        <v>44197.524305555555</v>
      </c>
    </row>
    <row r="65" spans="1:1" x14ac:dyDescent="0.4">
      <c r="A65" s="30">
        <v>44197.527777777781</v>
      </c>
    </row>
    <row r="66" spans="1:1" x14ac:dyDescent="0.4">
      <c r="A66" s="30">
        <v>44197.53125</v>
      </c>
    </row>
    <row r="67" spans="1:1" x14ac:dyDescent="0.4">
      <c r="A67" s="30">
        <v>44197.534722222219</v>
      </c>
    </row>
    <row r="68" spans="1:1" x14ac:dyDescent="0.4">
      <c r="A68" s="30">
        <v>44197.538194444445</v>
      </c>
    </row>
    <row r="69" spans="1:1" x14ac:dyDescent="0.4">
      <c r="A69" s="30">
        <v>44197.541666666664</v>
      </c>
    </row>
    <row r="70" spans="1:1" x14ac:dyDescent="0.4">
      <c r="A70" s="30">
        <v>44197.545138888891</v>
      </c>
    </row>
    <row r="71" spans="1:1" x14ac:dyDescent="0.4">
      <c r="A71" s="30">
        <v>44197.548611111109</v>
      </c>
    </row>
    <row r="72" spans="1:1" x14ac:dyDescent="0.4">
      <c r="A72" s="30">
        <v>44197.552083333336</v>
      </c>
    </row>
    <row r="73" spans="1:1" x14ac:dyDescent="0.4">
      <c r="A73" s="30">
        <v>44197.555555555555</v>
      </c>
    </row>
    <row r="74" spans="1:1" x14ac:dyDescent="0.4">
      <c r="A74" s="30">
        <v>44197.559027777781</v>
      </c>
    </row>
    <row r="75" spans="1:1" x14ac:dyDescent="0.4">
      <c r="A75" s="30">
        <v>44197.5625</v>
      </c>
    </row>
    <row r="76" spans="1:1" x14ac:dyDescent="0.4">
      <c r="A76" s="30">
        <v>44197.565972222219</v>
      </c>
    </row>
    <row r="77" spans="1:1" x14ac:dyDescent="0.4">
      <c r="A77" s="30">
        <v>44197.569444444445</v>
      </c>
    </row>
    <row r="78" spans="1:1" x14ac:dyDescent="0.4">
      <c r="A78" s="30">
        <v>44197.572916666664</v>
      </c>
    </row>
    <row r="79" spans="1:1" x14ac:dyDescent="0.4">
      <c r="A79" s="30">
        <v>44197.576388888891</v>
      </c>
    </row>
    <row r="80" spans="1:1" x14ac:dyDescent="0.4">
      <c r="A80" s="30">
        <v>44197.579861111109</v>
      </c>
    </row>
    <row r="81" spans="1:1" x14ac:dyDescent="0.4">
      <c r="A81" s="30">
        <v>44197.583333333336</v>
      </c>
    </row>
    <row r="82" spans="1:1" x14ac:dyDescent="0.4">
      <c r="A82" s="30">
        <v>44197.586805555555</v>
      </c>
    </row>
    <row r="83" spans="1:1" x14ac:dyDescent="0.4">
      <c r="A83" s="30">
        <v>44197.590277777781</v>
      </c>
    </row>
    <row r="84" spans="1:1" x14ac:dyDescent="0.4">
      <c r="A84" s="30">
        <v>44197.59375</v>
      </c>
    </row>
    <row r="85" spans="1:1" x14ac:dyDescent="0.4">
      <c r="A85" s="30">
        <v>44197.597222222219</v>
      </c>
    </row>
    <row r="86" spans="1:1" x14ac:dyDescent="0.4">
      <c r="A86" s="30">
        <v>44197.600694444445</v>
      </c>
    </row>
    <row r="87" spans="1:1" x14ac:dyDescent="0.4">
      <c r="A87" s="30">
        <v>44197.604166666664</v>
      </c>
    </row>
    <row r="88" spans="1:1" x14ac:dyDescent="0.4">
      <c r="A88" s="30">
        <v>44197.607638888891</v>
      </c>
    </row>
    <row r="89" spans="1:1" x14ac:dyDescent="0.4">
      <c r="A89" s="30">
        <v>44197.611111111109</v>
      </c>
    </row>
    <row r="90" spans="1:1" x14ac:dyDescent="0.4">
      <c r="A90" s="30">
        <v>44197.614583333336</v>
      </c>
    </row>
    <row r="91" spans="1:1" x14ac:dyDescent="0.4">
      <c r="A91" s="30">
        <v>44197.618055555555</v>
      </c>
    </row>
    <row r="92" spans="1:1" x14ac:dyDescent="0.4">
      <c r="A92" s="30">
        <v>44197.621527777781</v>
      </c>
    </row>
    <row r="93" spans="1:1" x14ac:dyDescent="0.4">
      <c r="A93" s="30">
        <v>44197.625</v>
      </c>
    </row>
    <row r="94" spans="1:1" x14ac:dyDescent="0.4">
      <c r="A94" s="30">
        <v>44197.628472222219</v>
      </c>
    </row>
    <row r="95" spans="1:1" x14ac:dyDescent="0.4">
      <c r="A95" s="30">
        <v>44197.631944444445</v>
      </c>
    </row>
    <row r="96" spans="1:1" x14ac:dyDescent="0.4">
      <c r="A96" s="30">
        <v>44197.635416666664</v>
      </c>
    </row>
    <row r="97" spans="1:1" x14ac:dyDescent="0.4">
      <c r="A97" s="30">
        <v>44197.638888888891</v>
      </c>
    </row>
    <row r="98" spans="1:1" x14ac:dyDescent="0.4">
      <c r="A98" s="30">
        <v>44197.642361111109</v>
      </c>
    </row>
    <row r="99" spans="1:1" x14ac:dyDescent="0.4">
      <c r="A99" s="30">
        <v>44197.645833333336</v>
      </c>
    </row>
    <row r="100" spans="1:1" x14ac:dyDescent="0.4">
      <c r="A100" s="30">
        <v>44197.649305555555</v>
      </c>
    </row>
    <row r="101" spans="1:1" x14ac:dyDescent="0.4">
      <c r="A101" s="30">
        <v>44197.652777777781</v>
      </c>
    </row>
    <row r="102" spans="1:1" x14ac:dyDescent="0.4">
      <c r="A102" s="30">
        <v>44197.65625</v>
      </c>
    </row>
    <row r="103" spans="1:1" x14ac:dyDescent="0.4">
      <c r="A103" s="30">
        <v>44197.659722222219</v>
      </c>
    </row>
    <row r="104" spans="1:1" x14ac:dyDescent="0.4">
      <c r="A104" s="30">
        <v>44197.663194444445</v>
      </c>
    </row>
    <row r="105" spans="1:1" x14ac:dyDescent="0.4">
      <c r="A105" s="30">
        <v>44197.666666666664</v>
      </c>
    </row>
    <row r="106" spans="1:1" x14ac:dyDescent="0.4">
      <c r="A106" s="30">
        <v>44197.670138888891</v>
      </c>
    </row>
    <row r="107" spans="1:1" x14ac:dyDescent="0.4">
      <c r="A107" s="30">
        <v>44197.673611111109</v>
      </c>
    </row>
    <row r="108" spans="1:1" x14ac:dyDescent="0.4">
      <c r="A108" s="30">
        <v>44197.677083333336</v>
      </c>
    </row>
    <row r="109" spans="1:1" x14ac:dyDescent="0.4">
      <c r="A109" s="30">
        <v>44197.680555555555</v>
      </c>
    </row>
    <row r="110" spans="1:1" x14ac:dyDescent="0.4">
      <c r="A110" s="30">
        <v>44197.684027777781</v>
      </c>
    </row>
  </sheetData>
  <pageMargins left="0.7" right="0.7" top="0.75" bottom="0.75" header="0.3" footer="0.3"/>
  <pageSetup orientation="portrait" r:id="rId1"/>
  <customProperties>
    <customPr name="DaylightHours" r:id="rId2"/>
    <customPr name="EndDate" r:id="rId3"/>
    <customPr name="SheetIdentifier" r:id="rId4"/>
    <customPr name="StartDate" r:id="rId5"/>
    <customPr name="Sunrise" r:id="rId6"/>
    <customPr name="Sunset" r:id="rId7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2023-YEAR</vt:lpstr>
      <vt:lpstr>2022-YEAR</vt:lpstr>
      <vt:lpstr>2021-01-01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DesktopUser</dc:creator>
  <cp:lastModifiedBy>DesktopUser</cp:lastModifiedBy>
  <dcterms:created xsi:type="dcterms:W3CDTF">2023-02-13T14:27:39Z</dcterms:created>
  <dcterms:modified xsi:type="dcterms:W3CDTF">2023-05-12T19:03:33Z</dcterms:modified>
</cp:coreProperties>
</file>